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4.xml" ContentType="application/vnd.openxmlformats-officedocument.spreadsheetml.worksheet+xml"/>
  <Override PartName="/xl/worksheets/sheet7.xml" ContentType="application/vnd.openxmlformats-officedocument.spreadsheetml.worksheet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27.xml" ContentType="application/vnd.openxmlformats-officedocument.spreadsheetml.worksheet+xml"/>
  <Override PartName="/xl/worksheets/sheet23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26.xml" ContentType="application/vnd.openxmlformats-officedocument.spreadsheetml.worksheet+xml"/>
  <Override PartName="/xl/worksheets/sheet13.xml" ContentType="application/vnd.openxmlformats-officedocument.spreadsheetml.worksheet+xml"/>
  <Override PartName="/xl/worksheets/sheet2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12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8.xml" ContentType="application/vnd.openxmlformats-officedocument.spreadsheetml.worksheet+xml"/>
  <Override PartName="/xl/worksheets/sheet2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olors9.xml" ContentType="application/vnd.ms-office.chartcolorstyle+xml"/>
  <Override PartName="/xl/charts/style4.xml" ContentType="application/vnd.ms-office.chartstyle+xml"/>
  <Override PartName="/xl/charts/colors8.xml" ContentType="application/vnd.ms-office.chartcolorstyle+xml"/>
  <Override PartName="/xl/charts/style3.xml" ContentType="application/vnd.ms-office.chartstyle+xml"/>
  <Override PartName="/xl/charts/style2.xml" ContentType="application/vnd.ms-office.chartstyle+xml"/>
  <Override PartName="/xl/charts/style7.xml" ContentType="application/vnd.ms-office.chartstyle+xml"/>
  <Override PartName="/xl/charts/colors6.xml" ContentType="application/vnd.ms-office.chartcolorstyle+xml"/>
  <Override PartName="/xl/charts/chart4.xml" ContentType="application/vnd.openxmlformats-officedocument.drawingml.chart+xml"/>
  <Override PartName="/xl/charts/style10.xml" ContentType="application/vnd.ms-office.chartstyle+xml"/>
  <Override PartName="/xl/charts/style13.xml" ContentType="application/vnd.ms-office.chartstyle+xml"/>
  <Override PartName="/xl/charts/colors2.xml" ContentType="application/vnd.ms-office.chartcolorstyle+xml"/>
  <Override PartName="/xl/charts/colors7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0.xml" ContentType="application/vnd.ms-office.chartcolorstyle+xml"/>
  <Override PartName="/xl/charts/colors12.xml" ContentType="application/vnd.ms-office.chartcolorstyle+xml"/>
  <Override PartName="/xl/charts/colors3.xml" ContentType="application/vnd.ms-office.chartcolorstyle+xml"/>
  <Override PartName="/xl/charts/colors11.xml" ContentType="application/vnd.ms-office.chartcolorstyle+xml"/>
  <Override PartName="/xl/charts/chart13.xml" ContentType="application/vnd.openxmlformats-officedocument.drawingml.chart+xml"/>
  <Override PartName="/xl/charts/style6.xml" ContentType="application/vnd.ms-office.chartstyle+xml"/>
  <Override PartName="/xl/charts/chart9.xml" ContentType="application/vnd.openxmlformats-officedocument.drawingml.chart+xml"/>
  <Override PartName="/xl/charts/colors13.xml" ContentType="application/vnd.ms-office.chartcolorstyle+xml"/>
  <Override PartName="/xl/charts/colors1.xml" ContentType="application/vnd.ms-office.chartcolorstyle+xml"/>
  <Override PartName="/xl/charts/chart7.xml" ContentType="application/vnd.openxmlformats-officedocument.drawingml.chart+xml"/>
  <Override PartName="/xl/charts/style1.xml" ContentType="application/vnd.ms-office.chartstyle+xml"/>
  <Override PartName="/xl/charts/style9.xml" ContentType="application/vnd.ms-office.chartstyle+xml"/>
  <Override PartName="/xl/charts/chart3.xml" ContentType="application/vnd.openxmlformats-officedocument.drawingml.chart+xml"/>
  <Override PartName="/xl/charts/chart6.xml" ContentType="application/vnd.openxmlformats-officedocument.drawingml.chart+xml"/>
  <Override PartName="/xl/charts/chart5.xml" ContentType="application/vnd.openxmlformats-officedocument.drawingml.chart+xml"/>
  <Override PartName="/xl/charts/chart2.xml" ContentType="application/vnd.openxmlformats-officedocument.drawingml.chart+xml"/>
  <Override PartName="/xl/charts/chart12.xml" ContentType="application/vnd.openxmlformats-officedocument.drawingml.chart+xml"/>
  <Override PartName="/xl/charts/chart8.xml" ContentType="application/vnd.openxmlformats-officedocument.drawingml.chart+xml"/>
  <Override PartName="/xl/charts/style12.xml" ContentType="application/vnd.ms-office.chartstyle+xml"/>
  <Override PartName="/xl/charts/colors4.xml" ContentType="application/vnd.ms-office.chartcolorstyle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style5.xml" ContentType="application/vnd.ms-office.chartstyle+xml"/>
  <Override PartName="/xl/charts/style8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Control Panel" sheetId="2" state="visible" r:id="rId4"/>
    <sheet name="Assumptions" sheetId="3" state="visible" r:id="rId5"/>
    <sheet name="Capex &amp; Funding" sheetId="4" state="visible" r:id="rId6"/>
    <sheet name="Depreciation" sheetId="5" state="visible" r:id="rId7"/>
    <sheet name="Revenue Build" sheetId="6" state="visible" r:id="rId8"/>
    <sheet name="Manpower" sheetId="7" state="visible" r:id="rId9"/>
    <sheet name="Operating Costs" sheetId="8" state="visible" r:id="rId10"/>
    <sheet name="Working Capital" sheetId="9" state="visible" r:id="rId11"/>
    <sheet name="Repayment Schedule" sheetId="10" state="visible" r:id="rId12"/>
    <sheet name="Debt Schedule" sheetId="11" state="visible" r:id="rId13"/>
    <sheet name="P&amp;L" sheetId="12" state="visible" r:id="rId14"/>
    <sheet name="Cash Flow" sheetId="13" state="visible" r:id="rId15"/>
    <sheet name="Balance Sheet" sheetId="14" state="visible" r:id="rId16"/>
    <sheet name="DSCR &amp; Covenants" sheetId="15" state="visible" r:id="rId17"/>
    <sheet name="Returns &amp; IRR" sheetId="16" state="visible" r:id="rId18"/>
    <sheet name="Break-even" sheetId="17" state="visible" r:id="rId19"/>
    <sheet name="Unit Economics" sheetId="18" state="visible" r:id="rId20"/>
    <sheet name="Ratio Dashboard" sheetId="19" state="visible" r:id="rId21"/>
    <sheet name="Valuation (DCF)" sheetId="20" state="visible" r:id="rId22"/>
    <sheet name="Scenario Summary" sheetId="21" state="visible" r:id="rId23"/>
    <sheet name="Sensitivity" sheetId="22" state="visible" r:id="rId24"/>
    <sheet name="Tornado" sheetId="23" state="visible" r:id="rId25"/>
    <sheet name="Monte Carlo" sheetId="24" state="visible" r:id="rId26"/>
    <sheet name="Funding Comparison" sheetId="25" state="visible" r:id="rId27"/>
    <sheet name="PE Case" sheetId="26" state="visible" r:id="rId28"/>
    <sheet name="Charts" sheetId="27" state="visible" r:id="rId2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Model</author>
  </authors>
  <commentList>
    <comment ref="B5" authorId="0">
      <text>
        <r>
          <rPr>
            <sz val="10"/>
            <rFont val="Arial"/>
            <family val="2"/>
          </rPr>
          <t xml:space="preserve">Enter 1, 2, 3 or 4.
1 Base - management case, benchmarked to ICRA sector data
2 Optimistic - faster ramp, better case mix, cheaper debt
3 Pessimistic - slow ramp, weak pricing, cost and capex overrun
4 Lender Stress - the downside a credit committee tests against</t>
        </r>
      </text>
    </comment>
    <comment ref="B11" authorId="0">
      <text>
        <r>
          <rPr>
            <sz val="10"/>
            <rFont val="Arial"/>
            <family val="2"/>
          </rPr>
          <t xml:space="preserve">Payer mix drives TWO things:
1. Realisation - government schemes (PMJAY/CGHS/ESI) pay ~72% of list tariff, insurance ~94%, cash 100%.
2. Working capital - government receivables run ~110 days vs 3 days for cash. This is the single biggest working-capital lever in an Indian hospital.</t>
        </r>
      </text>
    </comment>
  </commentList>
</comments>
</file>

<file path=xl/sharedStrings.xml><?xml version="1.0" encoding="utf-8"?>
<sst xmlns="http://schemas.openxmlformats.org/spreadsheetml/2006/main" count="2377" uniqueCount="1398">
  <si>
    <t xml:space="preserve">FUNGI LABS MULTI-SPECIALITY HOSPITAL</t>
  </si>
  <si>
    <t xml:space="preserve">100-Bed Greenfield Project  |  Nashik, Maharashtra  |  Tier-2 India</t>
  </si>
  <si>
    <t xml:space="preserve">MASTER FINANCIAL MODEL</t>
  </si>
  <si>
    <t xml:space="preserve">Feasibility  ·  DPR  ·  Financial Projections  ·  Viability &amp; Bankability</t>
  </si>
  <si>
    <t xml:space="preserve">Project</t>
  </si>
  <si>
    <t xml:space="preserve">Fungi Labs Multi-Speciality Hospital Pvt. Ltd.</t>
  </si>
  <si>
    <t xml:space="preserve">Facility</t>
  </si>
  <si>
    <t xml:space="preserve">100 operational beds, balanced multi-specialty</t>
  </si>
  <si>
    <t xml:space="preserve">Location</t>
  </si>
  <si>
    <t xml:space="preserve">Nashik, Maharashtra (Tier-2), catchment ~21 lakh</t>
  </si>
  <si>
    <t xml:space="preserve">Land &amp; building</t>
  </si>
  <si>
    <t xml:space="preserve">Greenfield — 2.0 acres freehold, 1,05,000 sq ft built-up</t>
  </si>
  <si>
    <t xml:space="preserve">Specialties</t>
  </si>
  <si>
    <t xml:space="preserve">Gen. Medicine · Gen. Surgery · Orthopaedics · Cardiology (cath lab) ·</t>
  </si>
  <si>
    <t xml:space="preserve">OBG · Paediatrics &amp; NICU · Nephrology &amp; Dialysis · Critical Care</t>
  </si>
  <si>
    <t xml:space="preserve">Project cost</t>
  </si>
  <si>
    <t xml:space="preserve">Rs 110.78 Cr  (Rs 11,078 Lakh)</t>
  </si>
  <si>
    <t xml:space="preserve">Cost per bed</t>
  </si>
  <si>
    <t xml:space="preserve">Rs 1.11 Cr</t>
  </si>
  <si>
    <t xml:space="preserve">Funding — base case</t>
  </si>
  <si>
    <t xml:space="preserve">70:30 Debt:Equity — Term loan Rs 77.54 Cr / Promoter equity Rs 33.23 Cr</t>
  </si>
  <si>
    <t xml:space="preserve">Promoter support facility</t>
  </si>
  <si>
    <t xml:space="preserve">Rs 17.80 Cr (DSRA + start-up deficit funding)</t>
  </si>
  <si>
    <t xml:space="preserve">Model horizon</t>
  </si>
  <si>
    <t xml:space="preserve">10 operating years — FY2029 to FY2038</t>
  </si>
  <si>
    <t xml:space="preserve">Currency &amp; units</t>
  </si>
  <si>
    <t xml:space="preserve">Indian Rupees. All amounts in Rs Lakh unless stated. 100 Lakh = 1 Crore.</t>
  </si>
  <si>
    <t xml:space="preserve">Model date</t>
  </si>
  <si>
    <t xml:space="preserve">8 August 2026</t>
  </si>
  <si>
    <t xml:space="preserve">HEADLINE OUTPUTS — BASE CASE</t>
  </si>
  <si>
    <t xml:space="preserve">Revenue — Year 1 / Year 5 / Year 10</t>
  </si>
  <si>
    <t xml:space="preserve">Rs 30.1 Cr / Rs 104.4 Cr / Rs 158.3 Cr</t>
  </si>
  <si>
    <t xml:space="preserve">EBITDA — Year 5 / Year 10</t>
  </si>
  <si>
    <t xml:space="preserve">Rs 24.8 Cr (23.7%) / Rs 42.1 Cr (26.6%)</t>
  </si>
  <si>
    <t xml:space="preserve">EBITDA breakeven / PAT breakeven</t>
  </si>
  <si>
    <t xml:space="preserve">Year 2 / Year 4</t>
  </si>
  <si>
    <t xml:space="preserve">Minimum / Average DSCR (post-moratorium)</t>
  </si>
  <si>
    <t xml:space="preserve">1.46x / 1.66x  —  covenant breaches: 0</t>
  </si>
  <si>
    <t xml:space="preserve">Project IRR / NPV @ 12.5% WACC</t>
  </si>
  <si>
    <t xml:space="preserve">22.13% / Rs 123.2 Cr</t>
  </si>
  <si>
    <t xml:space="preserve">Equity IRR / Money multiple (10-yr hold)</t>
  </si>
  <si>
    <t xml:space="preserve">26.91% / 12.32x</t>
  </si>
  <si>
    <t xml:space="preserve">Break-even occupancy (Year 5) — accounting / cash</t>
  </si>
  <si>
    <t xml:space="preserve">45.2% / 61.1%</t>
  </si>
  <si>
    <t xml:space="preserve">COLOUR CONVENTION</t>
  </si>
  <si>
    <t xml:space="preserve">Blue text on yellow fill</t>
  </si>
  <si>
    <t xml:space="preserve">Hardcoded input or scenario lever — EDIT THESE</t>
  </si>
  <si>
    <t xml:space="preserve">Black text</t>
  </si>
  <si>
    <t xml:space="preserve">Formula calculated on this sheet — do not overwrite</t>
  </si>
  <si>
    <t xml:space="preserve">Green text</t>
  </si>
  <si>
    <t xml:space="preserve">Link to another sheet — do not overwrite</t>
  </si>
  <si>
    <t xml:space="preserve">SHEET INDEX</t>
  </si>
  <si>
    <t xml:space="preserve">Control Panel</t>
  </si>
  <si>
    <t xml:space="preserve">Scenario, funding-structure and payer-mix switches. START HERE.</t>
  </si>
  <si>
    <t xml:space="preserve">Assumptions</t>
  </si>
  <si>
    <t xml:space="preserve">Every operating, cost, working-capital, tax and valuation assumption</t>
  </si>
  <si>
    <t xml:space="preserve">Capex &amp; Funding</t>
  </si>
  <si>
    <t xml:space="preserve">Cost of project, IDC closed-form solution, means of finance</t>
  </si>
  <si>
    <t xml:space="preserve">Depreciation</t>
  </si>
  <si>
    <t xml:space="preserve">Block-wise book depreciation (SLM) and income-tax WDV depreciation</t>
  </si>
  <si>
    <t xml:space="preserve">Revenue Build</t>
  </si>
  <si>
    <t xml:space="preserve">Bed-days, ARPOB, IPD/OPD/diagnostics/pharmacy/dialysis build-up</t>
  </si>
  <si>
    <t xml:space="preserve">Manpower</t>
  </si>
  <si>
    <t xml:space="preserve">Cadre-wise headcount and cost ramp</t>
  </si>
  <si>
    <t xml:space="preserve">Operating Costs</t>
  </si>
  <si>
    <t xml:space="preserve">Full opex build; variable vs fixed classification</t>
  </si>
  <si>
    <t xml:space="preserve">Working Capital</t>
  </si>
  <si>
    <t xml:space="preserve">Debtor days driven by payer mix; inventory, creditors, net WC</t>
  </si>
  <si>
    <t xml:space="preserve">Repayment Schedule</t>
  </si>
  <si>
    <t xml:space="preserve">Quarterly term-loan repayment ladder — 28 instalments</t>
  </si>
  <si>
    <t xml:space="preserve">Debt Schedule</t>
  </si>
  <si>
    <t xml:space="preserve">Annual term loan + working-capital facility, interest, closing balance</t>
  </si>
  <si>
    <t xml:space="preserve">P&amp;L</t>
  </si>
  <si>
    <t xml:space="preserve">Profit &amp; loss with loss carry-forward and s.115BAA tax</t>
  </si>
  <si>
    <t xml:space="preserve">Cash Flow</t>
  </si>
  <si>
    <t xml:space="preserve">Operating / investing / financing; FCFF and FCFE</t>
  </si>
  <si>
    <t xml:space="preserve">Balance Sheet</t>
  </si>
  <si>
    <t xml:space="preserve">Balance sheet with automated balance check</t>
  </si>
  <si>
    <t xml:space="preserve">DSCR &amp; Covenants</t>
  </si>
  <si>
    <t xml:space="preserve">CFADS, DSCR (cash and accrual), covenant compliance tracker</t>
  </si>
  <si>
    <t xml:space="preserve">Returns &amp; IRR</t>
  </si>
  <si>
    <t xml:space="preserve">Project and equity IRR, NPV, payback, money multiple</t>
  </si>
  <si>
    <t xml:space="preserve">Break-even</t>
  </si>
  <si>
    <t xml:space="preserve">Contribution margin, break-even occupancy, operating &amp; financial leverage</t>
  </si>
  <si>
    <t xml:space="preserve">Unit Economics</t>
  </si>
  <si>
    <t xml:space="preserve">Per-bed and per-patient economics; asset turns</t>
  </si>
  <si>
    <t xml:space="preserve">Ratio Dashboard</t>
  </si>
  <si>
    <t xml:space="preserve">Profitability, leverage, liquidity, efficiency, coverage ratios</t>
  </si>
  <si>
    <t xml:space="preserve">Valuation (DCF)</t>
  </si>
  <si>
    <t xml:space="preserve">DCF with Gordon-growth and exit-multiple terminal values</t>
  </si>
  <si>
    <t xml:space="preserve">Scenario Summary</t>
  </si>
  <si>
    <t xml:space="preserve">Base / Optimistic / Pessimistic / Lender Stress side by side</t>
  </si>
  <si>
    <t xml:space="preserve">Sensitivity</t>
  </si>
  <si>
    <t xml:space="preserve">Nine two-way sensitivity grids on IRR, DSCR, NPV and margin</t>
  </si>
  <si>
    <t xml:space="preserve">Tornado</t>
  </si>
  <si>
    <t xml:space="preserve">One-at-a-time swing analysis ranking every driver by impact</t>
  </si>
  <si>
    <t xml:space="preserve">Monte Carlo</t>
  </si>
  <si>
    <t xml:space="preserve">10,000-trial simulation; probability of covenant breach and of loss</t>
  </si>
  <si>
    <t xml:space="preserve">Funding Comparison</t>
  </si>
  <si>
    <t xml:space="preserve">Four funding structures compared on returns AND default risk</t>
  </si>
  <si>
    <t xml:space="preserve">PE Case</t>
  </si>
  <si>
    <t xml:space="preserve">Funding Option 2 — institutional equity, cap table, exit waterfall</t>
  </si>
  <si>
    <t xml:space="preserve">Charts</t>
  </si>
  <si>
    <t xml:space="preserve">Revenue &amp; EBITDA bridge, DSCR profile, cash flow, sensitivity charts</t>
  </si>
  <si>
    <t xml:space="preserve">IMPORTANT — READ BEFORE USE</t>
  </si>
  <si>
    <t xml:space="preserve">This is an illustrative case-study model built for teaching purposes. 'Fungi Labs' is a fictitious entity.</t>
  </si>
  <si>
    <t xml:space="preserve">Sector benchmarks (occupancy, ARPOB growth, operating margin) are drawn from published ICRA research on the</t>
  </si>
  <si>
    <t xml:space="preserve">Indian hospital industry; see the Assumptions sheet for the source note against each figure. All other inputs are</t>
  </si>
  <si>
    <t xml:space="preserve">reasoned estimates, not audited or independently verified data. Nothing here is investment, tax or legal advice.</t>
  </si>
  <si>
    <t xml:space="preserve">Sensitivity grids, the tornado analysis and the Monte Carlo results are produced by re-running the full model at</t>
  </si>
  <si>
    <t xml:space="preserve">each parameter combination in Python (see fl_analytics.py); they are pasted as values because Excel cannot</t>
  </si>
  <si>
    <t xml:space="preserve">recalculate them without VBA. Every other number in this workbook is a live formula.</t>
  </si>
  <si>
    <t xml:space="preserve">CONTROL PANEL — MODEL SWITCHES</t>
  </si>
  <si>
    <t xml:space="preserve">Change the three switches below and the whole workbook recalculates. Edit ONLY the blue cells on yellow fill.</t>
  </si>
  <si>
    <t xml:space="preserve">Scenario   (1 = Base, 2 = Optimistic, 3 = Pessimistic, 4 = Lender Stress)</t>
  </si>
  <si>
    <t xml:space="preserve">Active scenario</t>
  </si>
  <si>
    <t xml:space="preserve">Funding structure   (1 = 70:30, 2 = 65:35, 3 = 60:40 with PE)</t>
  </si>
  <si>
    <t xml:space="preserve">Active funding structure</t>
  </si>
  <si>
    <t xml:space="preserve">Payer mix   (1 = Blended, 2 = Government-heavy, 3 = Cash-premium)</t>
  </si>
  <si>
    <t xml:space="preserve">Active payer mix</t>
  </si>
  <si>
    <t xml:space="preserve">SCENARIO DRIVER TABLE</t>
  </si>
  <si>
    <t xml:space="preserve">Driver</t>
  </si>
  <si>
    <t xml:space="preserve">Unit</t>
  </si>
  <si>
    <t xml:space="preserve">Base</t>
  </si>
  <si>
    <t xml:space="preserve">Optimistic</t>
  </si>
  <si>
    <t xml:space="preserve">Pessimistic</t>
  </si>
  <si>
    <t xml:space="preserve">Lender Stress</t>
  </si>
  <si>
    <t xml:space="preserve">ACTIVE</t>
  </si>
  <si>
    <t xml:space="preserve">Peak occupancy (stabilised)</t>
  </si>
  <si>
    <t xml:space="preserve">%</t>
  </si>
  <si>
    <t xml:space="preserve">ICRA: sector 62-64%; well-run tier-2 65-75%</t>
  </si>
  <si>
    <t xml:space="preserve">Occupancy ramp multiplier</t>
  </si>
  <si>
    <t xml:space="preserve">x</t>
  </si>
  <si>
    <t xml:space="preserve">Speed of the ramp toward peak occupancy</t>
  </si>
  <si>
    <t xml:space="preserve">ARPOB Year 1 (gross tariff)</t>
  </si>
  <si>
    <t xml:space="preserve">Rs/bed-day</t>
  </si>
  <si>
    <t xml:space="preserve">Gross of payer discount; net = gross x realisation index</t>
  </si>
  <si>
    <t xml:space="preserve">ARPOB escalation p.a.</t>
  </si>
  <si>
    <t xml:space="preserve">ICRA guides 6-8% p.a. for the sector</t>
  </si>
  <si>
    <t xml:space="preserve">OPD footfall multiplier</t>
  </si>
  <si>
    <t xml:space="preserve">Consumables % of revenue</t>
  </si>
  <si>
    <t xml:space="preserve">Drugs, implants, surgical disposables, lab reagents</t>
  </si>
  <si>
    <t xml:space="preserve">Salary escalation p.a.</t>
  </si>
  <si>
    <t xml:space="preserve">Consultant payout % of IPD+OPD</t>
  </si>
  <si>
    <t xml:space="preserve">Fee-for-service visiting consultants only; full-time consultants sit in salaries</t>
  </si>
  <si>
    <t xml:space="preserve">Capex overrun</t>
  </si>
  <si>
    <t xml:space="preserve">Applied to everything except land</t>
  </si>
  <si>
    <t xml:space="preserve">Base interest rate</t>
  </si>
  <si>
    <t xml:space="preserve">Market range for hospital term loans is 9.5-12.5%</t>
  </si>
  <si>
    <t xml:space="preserve">Construction delay</t>
  </si>
  <si>
    <t xml:space="preserve">months</t>
  </si>
  <si>
    <t xml:space="preserve">Extends IDC and defers first revenue</t>
  </si>
  <si>
    <t xml:space="preserve">Exit EV/EBITDA multiple</t>
  </si>
  <si>
    <t xml:space="preserve">Unlisted tier-2 asset; listed Indian hospitals trade far higher</t>
  </si>
  <si>
    <t xml:space="preserve">FUNDING STRUCTURE TABLE</t>
  </si>
  <si>
    <t xml:space="preserve">Parameter</t>
  </si>
  <si>
    <t xml:space="preserve">Opt 1: 70:30</t>
  </si>
  <si>
    <t xml:space="preserve">Opt 2: 65:35</t>
  </si>
  <si>
    <t xml:space="preserve">Opt 3: 60:40 + PE</t>
  </si>
  <si>
    <t xml:space="preserve">Term debt as % of cost of project</t>
  </si>
  <si>
    <t xml:space="preserve">Cost of project excludes the promoter support facility</t>
  </si>
  <si>
    <t xml:space="preserve">Promoter support facility (DSRA + deficit)</t>
  </si>
  <si>
    <t xml:space="preserve">Rs Lakh</t>
  </si>
  <si>
    <t xml:space="preserve">Solved so the minimum cash balance stays &gt;= Rs 150 L in the base case</t>
  </si>
  <si>
    <t xml:space="preserve">Interest rate adjustment</t>
  </si>
  <si>
    <t xml:space="preserve">Lower leverage earns finer pricing</t>
  </si>
  <si>
    <t xml:space="preserve">Effective interest rate applied in the model</t>
  </si>
  <si>
    <t xml:space="preserve">PAYER MIX TABLE</t>
  </si>
  <si>
    <t xml:space="preserve">Payer segment</t>
  </si>
  <si>
    <t xml:space="preserve">Blended</t>
  </si>
  <si>
    <t xml:space="preserve">Govt-heavy</t>
  </si>
  <si>
    <t xml:space="preserve">Cash-premium</t>
  </si>
  <si>
    <t xml:space="preserve">ACTIVE mix</t>
  </si>
  <si>
    <t xml:space="preserve">Realisation vs list</t>
  </si>
  <si>
    <t xml:space="preserve">Debtor days</t>
  </si>
  <si>
    <t xml:space="preserve">Cash / self-pay</t>
  </si>
  <si>
    <t xml:space="preserve">Private insurance / TPA</t>
  </si>
  <si>
    <t xml:space="preserve">Government schemes (PMJAY / CGHS / ESI)</t>
  </si>
  <si>
    <t xml:space="preserve">Total</t>
  </si>
  <si>
    <t xml:space="preserve">Integrity check — active mix must total 100%</t>
  </si>
  <si>
    <t xml:space="preserve">Weighted realisation index</t>
  </si>
  <si>
    <t xml:space="preserve">Net ARPOB = gross ARPOB x this index</t>
  </si>
  <si>
    <t xml:space="preserve">Weighted debtor days</t>
  </si>
  <si>
    <t xml:space="preserve">Drives receivables on the Working Capital sheet</t>
  </si>
  <si>
    <t xml:space="preserve">HOW THIS MODEL IS WIRED</t>
  </si>
  <si>
    <t xml:space="preserve">Control Panel  -&gt;  Assumptions  -&gt;  Revenue Build / Manpower / Operating Costs  -&gt;  P&amp;L</t>
  </si>
  <si>
    <t xml:space="preserve">Capex &amp; Funding  -&gt;  Depreciation (into P&amp;L)  and  Debt Schedule (interest into P&amp;L)</t>
  </si>
  <si>
    <t xml:space="preserve">P&amp;L + Working Capital + Debt  -&gt;  Cash Flow  -&gt;  Balance Sheet (with a balance check)</t>
  </si>
  <si>
    <t xml:space="preserve">Cash Flow  -&gt;  DSCR &amp; Covenants  -&gt;  Returns &amp; IRR  -&gt;  Valuation</t>
  </si>
  <si>
    <t xml:space="preserve">Every downstream sheet reads the ACTIVE column (G) of the tables above. Nothing is hardcoded twice.</t>
  </si>
  <si>
    <t xml:space="preserve">ASSUMPTIONS</t>
  </si>
  <si>
    <t xml:space="preserve">All amounts in Rs Lakh unless the unit column says otherwise. Blue on yellow = input. Source notes in column E.</t>
  </si>
  <si>
    <t xml:space="preserve">1.  CAPACITY &amp; PHYSICAL PARAMETERS</t>
  </si>
  <si>
    <t xml:space="preserve">Operational beds</t>
  </si>
  <si>
    <t xml:space="preserve">beds</t>
  </si>
  <si>
    <t xml:space="preserve">Licensed and commissioned bed strength</t>
  </si>
  <si>
    <t xml:space="preserve">Built-up area</t>
  </si>
  <si>
    <t xml:space="preserve">sq ft</t>
  </si>
  <si>
    <t xml:space="preserve">1,050 sq ft per bed — NABH-compliant planning norm</t>
  </si>
  <si>
    <t xml:space="preserve">Land area</t>
  </si>
  <si>
    <t xml:space="preserve">acres</t>
  </si>
  <si>
    <t xml:space="preserve">Allows FSI headroom for a Phase-2 vertical expansion</t>
  </si>
  <si>
    <t xml:space="preserve">Number of operation theatres</t>
  </si>
  <si>
    <t xml:space="preserve">nos</t>
  </si>
  <si>
    <t xml:space="preserve">3 major + 1 minor/emergency</t>
  </si>
  <si>
    <t xml:space="preserve">Critical care beds (ICU/CCU/NICU/HDU)</t>
  </si>
  <si>
    <t xml:space="preserve">33% of total — appropriate for a tier-2 tertiary-lite facility</t>
  </si>
  <si>
    <t xml:space="preserve">Dialysis stations</t>
  </si>
  <si>
    <t xml:space="preserve">Construction period</t>
  </si>
  <si>
    <t xml:space="preserve">From financial closure to commercial operation date (COD)</t>
  </si>
  <si>
    <t xml:space="preserve">Construction delay (from scenario)</t>
  </si>
  <si>
    <t xml:space="preserve">Linked to the Control Panel</t>
  </si>
  <si>
    <t xml:space="preserve">Effective construction period</t>
  </si>
  <si>
    <t xml:space="preserve">2.  BED CONFIGURATION</t>
  </si>
  <si>
    <t xml:space="preserve">Bed category</t>
  </si>
  <si>
    <t xml:space="preserve">Beds</t>
  </si>
  <si>
    <t xml:space="preserve">% of total</t>
  </si>
  <si>
    <t xml:space="preserve">    General ward (multi-bedded)</t>
  </si>
  <si>
    <t xml:space="preserve">    Semi-private (twin sharing)</t>
  </si>
  <si>
    <t xml:space="preserve">    Private / deluxe room</t>
  </si>
  <si>
    <t xml:space="preserve">    ICU — medical &amp; surgical</t>
  </si>
  <si>
    <t xml:space="preserve">    CCU — coronary care</t>
  </si>
  <si>
    <t xml:space="preserve">    NICU / PICU</t>
  </si>
  <si>
    <t xml:space="preserve">    HDU / step-down</t>
  </si>
  <si>
    <t xml:space="preserve">    Isolation / negative pressure</t>
  </si>
  <si>
    <t xml:space="preserve">Total beds</t>
  </si>
  <si>
    <t xml:space="preserve">Integrity check — bed config must equal operational beds</t>
  </si>
  <si>
    <t xml:space="preserve">3.  OCCUPANCY &amp; CASE-MIX DRIVERS</t>
  </si>
  <si>
    <t xml:space="preserve">Peak (stabilised) occupancy</t>
  </si>
  <si>
    <t xml:space="preserve">ICRA FY2026: sector occupancy 62-64%; well-run tier-2 65-75%</t>
  </si>
  <si>
    <t xml:space="preserve">Scenario lever on the speed of the ramp</t>
  </si>
  <si>
    <t xml:space="preserve">ARPOB Year 1 — gross of payer discount</t>
  </si>
  <si>
    <t xml:space="preserve">Average revenue per occupied bed-day at list tariff</t>
  </si>
  <si>
    <t xml:space="preserve">ICRA guides 6-8% p.a.; driven by tariff revision plus case-mix enrichment</t>
  </si>
  <si>
    <t xml:space="preserve">Weighted realisation index (payer mix)</t>
  </si>
  <si>
    <t xml:space="preserve">index</t>
  </si>
  <si>
    <t xml:space="preserve">Average length of stay (ALOS)</t>
  </si>
  <si>
    <t xml:space="preserve">days</t>
  </si>
  <si>
    <t xml:space="preserve">Used to derive admissions from bed-days</t>
  </si>
  <si>
    <t xml:space="preserve">Occupancy ramp profile — % of peak occupancy achieved</t>
  </si>
  <si>
    <t xml:space="preserve">Ramp factor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</si>
  <si>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</si>
  <si>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</si>
  <si>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</si>
  <si>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</si>
  <si>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</si>
  <si>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Year 6</t>
  </si>
  <si>
    <t xml:space="preserve">Year 7</t>
  </si>
  <si>
    <t xml:space="preserve">Year 8</t>
  </si>
  <si>
    <t xml:space="preserve">Year 9</t>
  </si>
  <si>
    <t xml:space="preserve">Year 10</t>
  </si>
  <si>
    <t xml:space="preserve">Financial year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</si>
  <si>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</si>
  <si>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</si>
  <si>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</si>
  <si>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</si>
  <si>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</si>
  <si>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</si>
  <si>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</si>
  <si>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</si>
  <si>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FY2037</t>
  </si>
  <si>
    <t xml:space="preserve">FY2038</t>
  </si>
  <si>
    <t xml:space="preserve">% of peak occupancy achieved</t>
  </si>
  <si>
    <t xml:space="preserve">Blue inputs — the shape of the ramp is a management judgement</t>
  </si>
  <si>
    <t xml:space="preserve">Occupancy achieved</t>
  </si>
  <si>
    <t xml:space="preserve">Capped at 92% — physical maximum with turnaround time</t>
  </si>
  <si>
    <t xml:space="preserve">4.  OUTPATIENT, DIAGNOSTICS, PHARMACY &amp; DIALYSIS DRIVERS</t>
  </si>
  <si>
    <t xml:space="preserve">OPD footfall Year 1</t>
  </si>
  <si>
    <t xml:space="preserve">patients/day</t>
  </si>
  <si>
    <t xml:space="preserve">Ramps per the profile below</t>
  </si>
  <si>
    <t xml:space="preserve">Net revenue per OPD visit — Year 1</t>
  </si>
  <si>
    <t xml:space="preserve">Rs</t>
  </si>
  <si>
    <t xml:space="preserve">Consultation + procedure charges retained</t>
  </si>
  <si>
    <t xml:space="preserve">Price escalation — OPD, diagnostics, pharmacy</t>
  </si>
  <si>
    <t xml:space="preserve">Diagnostics conversion — Year 1</t>
  </si>
  <si>
    <t xml:space="preserve">% of footfall</t>
  </si>
  <si>
    <t xml:space="preserve">Share of OPD patients ordering lab or radiology</t>
  </si>
  <si>
    <t xml:space="preserve">Average diagnostics ticket — Year 1</t>
  </si>
  <si>
    <t xml:space="preserve">Pharmacy conversion — Year 1</t>
  </si>
  <si>
    <t xml:space="preserve">Average pharmacy ticket — Year 1</t>
  </si>
  <si>
    <t xml:space="preserve">Shifts per day</t>
  </si>
  <si>
    <t xml:space="preserve">Operating days per year</t>
  </si>
  <si>
    <t xml:space="preserve">Revenue per dialysis session — Year 1</t>
  </si>
  <si>
    <t xml:space="preserve">Net of PMJAY/insurance discounting on the blended mix</t>
  </si>
  <si>
    <t xml:space="preserve">Ramp / conversion profile</t>
  </si>
  <si>
    <t xml:space="preserve">OPD footfall index (Year 1 = 1.00)</t>
  </si>
  <si>
    <t xml:space="preserve">Diagnostics conversion</t>
  </si>
  <si>
    <t xml:space="preserve">Pharmacy conversion</t>
  </si>
  <si>
    <t xml:space="preserve">Dialysis station utilisation</t>
  </si>
  <si>
    <t xml:space="preserve">Other income (health checks, ambulance, academics, rentals)</t>
  </si>
  <si>
    <t xml:space="preserve">5.  OPERATING COST DRIVERS</t>
  </si>
  <si>
    <t xml:space="preserve">Consultant payout — % of IPD + OPD revenue</t>
  </si>
  <si>
    <t xml:space="preserve">Fee-for-service visiting consultants. Full-time consultants sit in salaries.</t>
  </si>
  <si>
    <t xml:space="preserve">Consumables — % of total revenue</t>
  </si>
  <si>
    <t xml:space="preserve">Drugs, implants, surgical disposables, lab reagents, medical gases</t>
  </si>
  <si>
    <t xml:space="preserve">Salary cost — Year 1 (from the Manpower build)</t>
  </si>
  <si>
    <t xml:space="preserve">Built bottom-up on the Manpower sheet from headcount x cost per head. Shown here for reference only — edit the cadre table on the Manpower sheet, not this cell.</t>
  </si>
  <si>
    <t xml:space="preserve">Nursing wage inflation is the binding constraint in Indian hospitals</t>
  </si>
  <si>
    <t xml:space="preserve">Semi-fixed cost lines</t>
  </si>
  <si>
    <t xml:space="preserve">Power &amp; fuel</t>
  </si>
  <si>
    <t xml:space="preserve">Largely fixed — HVAC and medical gas run regardless of occupancy</t>
  </si>
  <si>
    <t xml:space="preserve">Outsourced services (housekeeping, security, laundry, catering, biomedical AMC)</t>
  </si>
  <si>
    <t xml:space="preserve">Repairs &amp; maintenance</t>
  </si>
  <si>
    <t xml:space="preserve">Administrative &amp; other overheads</t>
  </si>
  <si>
    <t xml:space="preserve">Marketing &amp; business development</t>
  </si>
  <si>
    <t xml:space="preserve">Front-loaded — brand-building spend in the launch years</t>
  </si>
  <si>
    <t xml:space="preserve">Insurance, rates &amp; taxes, licences</t>
  </si>
  <si>
    <t xml:space="preserve">6.  WORKING CAPITAL</t>
  </si>
  <si>
    <t xml:space="preserve">Debtor days (weighted by payer mix)</t>
  </si>
  <si>
    <t xml:space="preserve">Cash 3d, insurance 55d, government schemes 110d</t>
  </si>
  <si>
    <t xml:space="preserve">Inventory days — on consumables cost</t>
  </si>
  <si>
    <t xml:space="preserve">Pharmacy, implants, reagents</t>
  </si>
  <si>
    <t xml:space="preserve">Creditor days — on consumables + outsourced</t>
  </si>
  <si>
    <t xml:space="preserve">Other current assets — days of revenue</t>
  </si>
  <si>
    <t xml:space="preserve">Advances, deposits, prepaid expenses</t>
  </si>
  <si>
    <t xml:space="preserve">Other current liabilities — days of revenue</t>
  </si>
  <si>
    <t xml:space="preserve">Statutory dues, provisions, accruals</t>
  </si>
  <si>
    <t xml:space="preserve">Minimum cash balance to be maintained</t>
  </si>
  <si>
    <t xml:space="preserve">7.  DEPRECIATION &amp; AMORTISATION (BOOK — SLM, Companies Act 2013 Sch. II)</t>
  </si>
  <si>
    <t xml:space="preserve">Building &amp; civil — SLM rate</t>
  </si>
  <si>
    <t xml:space="preserve">30-year useful life, 5% residual value</t>
  </si>
  <si>
    <t xml:space="preserve">Medical equipment — SLM rate</t>
  </si>
  <si>
    <t xml:space="preserve">13-year useful life</t>
  </si>
  <si>
    <t xml:space="preserve">Non-medical equipment &amp; utilities</t>
  </si>
  <si>
    <t xml:space="preserve">10-year useful life</t>
  </si>
  <si>
    <t xml:space="preserve">Furniture &amp; fixtures</t>
  </si>
  <si>
    <t xml:space="preserve">IT, HIS &amp; PACS</t>
  </si>
  <si>
    <t xml:space="preserve">6-year useful life</t>
  </si>
  <si>
    <t xml:space="preserve">Pre-operative expenses — amortisation period</t>
  </si>
  <si>
    <t xml:space="preserve">years</t>
  </si>
  <si>
    <t xml:space="preserve">Maintenance capex — % of revenue from Year 3</t>
  </si>
  <si>
    <t xml:space="preserve">Expansion capex — Year 3 (1.5T MRI)</t>
  </si>
  <si>
    <t xml:space="preserve">Deliberately deferred to Year 3 — the volumes do not justify it at launch</t>
  </si>
  <si>
    <t xml:space="preserve">8.  TAXATION</t>
  </si>
  <si>
    <t xml:space="preserve">Corporate tax rate</t>
  </si>
  <si>
    <t xml:space="preserve">s.115BAA: 22% base + 10% surcharge + 4% health &amp; education cess = 25.168%</t>
  </si>
  <si>
    <t xml:space="preserve">Business loss carry-forward</t>
  </si>
  <si>
    <t xml:space="preserve">s.72 — 8 assessment years. Unabsorbed depreciation carries forward indefinitely (s.32(2)).</t>
  </si>
  <si>
    <t xml:space="preserve">Income-tax depreciation — building (WDV)</t>
  </si>
  <si>
    <t xml:space="preserve">Not used in the P&amp;L; shown for deferred-tax context</t>
  </si>
  <si>
    <t xml:space="preserve">Income-tax depreciation — plant &amp; machinery (WDV)</t>
  </si>
  <si>
    <t xml:space="preserve">Income-tax depreciation — computers (WDV)</t>
  </si>
  <si>
    <t xml:space="preserve">9.  FINANCING</t>
  </si>
  <si>
    <t xml:space="preserve">Effective interest rate on term loan</t>
  </si>
  <si>
    <t xml:space="preserve">Market range 9.5-12.5% p.a. for Indian hospital term loans</t>
  </si>
  <si>
    <t xml:space="preserve">Upfront processing fee</t>
  </si>
  <si>
    <t xml:space="preserve">Expensed against reserves on drawdown</t>
  </si>
  <si>
    <t xml:space="preserve">Principal moratorium after COD</t>
  </si>
  <si>
    <t xml:space="preserve">First instalment falls due at the start of operating Year 4, once the hospital has cleared cash break-even. Interest is serviced throughout. This is the single most important structuring decision in the deal.</t>
  </si>
  <si>
    <t xml:space="preserve">Repayment tenor after moratorium</t>
  </si>
  <si>
    <t xml:space="preserve">28 quarterly instalments</t>
  </si>
  <si>
    <t xml:space="preserve">Door-to-door tenor</t>
  </si>
  <si>
    <t xml:space="preserve">Construction + moratorium + repayment</t>
  </si>
  <si>
    <t xml:space="preserve">Average debt drawdown factor during construction</t>
  </si>
  <si>
    <t xml:space="preserve">Average debt outstanding over the construction period, as a fraction of the final sanction (S-curve drawdown). Used in the closed-form IDC solution.</t>
  </si>
  <si>
    <t xml:space="preserve">Promoter support facility (DSRA + start-up deficit)</t>
  </si>
  <si>
    <t xml:space="preserve">Ring-fenced DSRA plus funding of the Year 1-2 operating deficit</t>
  </si>
  <si>
    <t xml:space="preserve">Working-capital facility — sanctioned limit</t>
  </si>
  <si>
    <t xml:space="preserve">Cash credit against receivables and stock</t>
  </si>
  <si>
    <t xml:space="preserve">Working-capital facility — interest rate</t>
  </si>
  <si>
    <t xml:space="preserve">Financing profiles</t>
  </si>
  <si>
    <t xml:space="preserve">Principal repayment ladder — % of sanction</t>
  </si>
  <si>
    <t xml:space="preserve">Working-capital facility utilisation</t>
  </si>
  <si>
    <t xml:space="preserve">10.  VALUATION</t>
  </si>
  <si>
    <t xml:space="preserve">WACC / discount rate</t>
  </si>
  <si>
    <t xml:space="preserve">Cost of equity ~17.5% at 40% weight, post-tax cost of debt ~8.0% at 60% weight</t>
  </si>
  <si>
    <t xml:space="preserve">Terminal growth rate (Gordon)</t>
  </si>
  <si>
    <t xml:space="preserve">Broadly nominal GDP growth less a margin</t>
  </si>
  <si>
    <t xml:space="preserve">Unlisted 100-bed tier-2 asset. Listed Indian hospital chains trade materially higher, reflecting scale, brand and liquidity.</t>
  </si>
  <si>
    <t xml:space="preserve">Target equity IRR (hurdle)</t>
  </si>
  <si>
    <t xml:space="preserve">Promoter / sponsor hurdle for a greenfield healthcare asset</t>
  </si>
  <si>
    <t xml:space="preserve">DSCR covenant floor</t>
  </si>
  <si>
    <t xml:space="preserve">Standard covenant for Indian hospital project finance</t>
  </si>
  <si>
    <t xml:space="preserve">Sources: ICRA Indian Hospital Industry research (FY2026 and FY2027 outlook) for sector occupancy, ARPOB growth and</t>
  </si>
  <si>
    <t xml:space="preserve">operating margin benchmarks. Interest-rate range and moratorium convention from published Indian hospital term-loan</t>
  </si>
  <si>
    <t xml:space="preserve">product terms (Mar 2026). Bed configuration, space norms, manpower and cost build-ups are reasoned estimates for a</t>
  </si>
  <si>
    <t xml:space="preserve">tier-2 facility of this scale and are not audited data. See the Learning Companion for how each figure was derived.</t>
  </si>
  <si>
    <t xml:space="preserve">COST OF PROJECT &amp; MEANS OF FINANCE</t>
  </si>
  <si>
    <t xml:space="preserve">All amounts in Rs Lakh. IDC is solved in closed form to avoid the classic circular reference.</t>
  </si>
  <si>
    <t xml:space="preserve">A.  COST OF PROJECT</t>
  </si>
  <si>
    <t xml:space="preserve">Cost head</t>
  </si>
  <si>
    <t xml:space="preserve">Basis</t>
  </si>
  <si>
    <t xml:space="preserve">Amount</t>
  </si>
  <si>
    <t xml:space="preserve">    Land — 2.0 acres freehold</t>
  </si>
  <si>
    <t xml:space="preserve">2.0 ac @ Rs 550 L/acre</t>
  </si>
  <si>
    <t xml:space="preserve">    Site development, boundary wall &amp; approach</t>
  </si>
  <si>
    <t xml:space="preserve">Lump sum</t>
  </si>
  <si>
    <t xml:space="preserve">    Civil construction</t>
  </si>
  <si>
    <t xml:space="preserve">1,05,000 sq ft @ Rs 2,700/sq ft</t>
  </si>
  <si>
    <t xml:space="preserve">    MEP &amp; building services</t>
  </si>
  <si>
    <t xml:space="preserve">@ Rs 950/sq ft — HVAC, electrical, plumbing, medical gas, fire</t>
  </si>
  <si>
    <t xml:space="preserve">    Interiors &amp; finishes</t>
  </si>
  <si>
    <t xml:space="preserve">@ Rs 520/sq ft</t>
  </si>
  <si>
    <t xml:space="preserve">    Medical equipment</t>
  </si>
  <si>
    <t xml:space="preserve">See equipment schedule below</t>
  </si>
  <si>
    <t xml:space="preserve">    Non-medical equipment &amp; utilities</t>
  </si>
  <si>
    <t xml:space="preserve">DG sets, lifts, CSSD, laundry, kitchen, STP</t>
  </si>
  <si>
    <t xml:space="preserve">    Furniture &amp; fixtures</t>
  </si>
  <si>
    <t xml:space="preserve">Beds, cots, cabinets, workstations</t>
  </si>
  <si>
    <t xml:space="preserve">    IT, HIS &amp; PACS</t>
  </si>
  <si>
    <t xml:space="preserve">HIS/HMIS licence, servers, network, PACS, CCTV</t>
  </si>
  <si>
    <t xml:space="preserve">    Pre-operative expenses</t>
  </si>
  <si>
    <t xml:space="preserve">Licences, consultancy, recruitment, pre-launch marketing, trial run</t>
  </si>
  <si>
    <t xml:space="preserve">    Contingency @ 4%</t>
  </si>
  <si>
    <t xml:space="preserve">On hard cost excl. land and pre-operative</t>
  </si>
  <si>
    <t xml:space="preserve">    Margin money for working capital</t>
  </si>
  <si>
    <t xml:space="preserve">Promoter's contribution to working capital</t>
  </si>
  <si>
    <t xml:space="preserve">Hard cost (before IDC)</t>
  </si>
  <si>
    <t xml:space="preserve">Interest during construction (IDC) — closed-form solution</t>
  </si>
  <si>
    <t xml:space="preserve">IDC depends on the debt, the debt depends on the project cost, and the project cost includes IDC.</t>
  </si>
  <si>
    <t xml:space="preserve">Rather than iterate, solve algebraically:  IDC = k x HardCost / (1 - k),  where k = d x r x (m/12) x f</t>
  </si>
  <si>
    <t xml:space="preserve">    k  =  debt% x rate x (months/12) x drawdown factor</t>
  </si>
  <si>
    <t xml:space="preserve">    Interest during construction (IDC)</t>
  </si>
  <si>
    <t xml:space="preserve">Capitalised into the asset blocks</t>
  </si>
  <si>
    <t xml:space="preserve">TOTAL COST OF PROJECT</t>
  </si>
  <si>
    <t xml:space="preserve">This is the figure the lender appraises and lends against.</t>
  </si>
  <si>
    <t xml:space="preserve">Cost per operational bed</t>
  </si>
  <si>
    <t xml:space="preserve">Benchmark: Rs 70-100 L/bed ex-land for a metro build; this project carries a cath lab, CT, 4 OTs and 33 critical-care beds.</t>
  </si>
  <si>
    <t xml:space="preserve">Cost per bed excluding land</t>
  </si>
  <si>
    <t xml:space="preserve">B.  MEANS OF FINANCE</t>
  </si>
  <si>
    <t xml:space="preserve">Source</t>
  </si>
  <si>
    <t xml:space="preserve">% of cost of project</t>
  </si>
  <si>
    <t xml:space="preserve">    Term loan from bank / FI</t>
  </si>
  <si>
    <t xml:space="preserve">Per the active funding structure</t>
  </si>
  <si>
    <t xml:space="preserve">    Promoter equity (incl. land contributed in kind)</t>
  </si>
  <si>
    <t xml:space="preserve">Total means of finance — cost of project</t>
  </si>
  <si>
    <t xml:space="preserve">Integrity check — means of finance must equal cost of project</t>
  </si>
  <si>
    <t xml:space="preserve">Additional promoter commitment — outside the cost of project</t>
  </si>
  <si>
    <t xml:space="preserve">    Promoter support facility (DSRA + start-up operating deficit)</t>
  </si>
  <si>
    <t xml:space="preserve">Unsecured subordinated promoter loan / equity</t>
  </si>
  <si>
    <t xml:space="preserve">A greenfield hospital loses money for roughly two years. Banks do not lend against operating losses, so the promoter must commit this separately. Sized so the minimum cash balance stays positive.</t>
  </si>
  <si>
    <t xml:space="preserve">TOTAL FUNDING REQUIREMENT</t>
  </si>
  <si>
    <t xml:space="preserve">Term debt as % of TOTAL funding requirement</t>
  </si>
  <si>
    <t xml:space="preserve">Headline gearing is 70:30 on the cost of project, but only ~60:40 once the promoter's cash-flow support is counted. Both views matter — quote the first to a lender, the second to yourself.</t>
  </si>
  <si>
    <t xml:space="preserve">Total promoter contribution</t>
  </si>
  <si>
    <t xml:space="preserve">Upfront processing fee on term loan</t>
  </si>
  <si>
    <t xml:space="preserve">C.  MEDICAL EQUIPMENT SCHEDULE</t>
  </si>
  <si>
    <t xml:space="preserve">Equipment</t>
  </si>
  <si>
    <t xml:space="preserve">Qty</t>
  </si>
  <si>
    <t xml:space="preserve">Note</t>
  </si>
  <si>
    <t xml:space="preserve">    Cardiac catheterisation laboratory (single plane)</t>
  </si>
  <si>
    <t xml:space="preserve">Anchor for the cardiology programme</t>
  </si>
  <si>
    <t xml:space="preserve">    CT scanner — 128 slice</t>
  </si>
  <si>
    <t xml:space="preserve">    Modular operation theatres — equipment for 4 OTs</t>
  </si>
  <si>
    <t xml:space="preserve">Tables, lights, anaesthesia, electrosurgery</t>
  </si>
  <si>
    <t xml:space="preserve">    ICU / CCU / NICU equipment</t>
  </si>
  <si>
    <t xml:space="preserve">Ventilators, monitors, infusion pumps, warmers</t>
  </si>
  <si>
    <t xml:space="preserve">    Laparoscopy &amp; endoscopy towers</t>
  </si>
  <si>
    <t xml:space="preserve">    Ultrasound, echocardiography, colour Doppler</t>
  </si>
  <si>
    <t xml:space="preserve">    Digital radiography &amp; C-arm</t>
  </si>
  <si>
    <t xml:space="preserve">    Clinical laboratory — biochemistry, haematology, microbiology</t>
  </si>
  <si>
    <t xml:space="preserve">Fully automated analysers</t>
  </si>
  <si>
    <t xml:space="preserve">    Dialysis machines &amp; RO plant</t>
  </si>
  <si>
    <t xml:space="preserve">    Cath lab &amp; OT support, CSSD instruments</t>
  </si>
  <si>
    <t xml:space="preserve">    Physiotherapy, audiometry, ophthalmology, ENT</t>
  </si>
  <si>
    <t xml:space="preserve">Total medical equipment (before scenario overrun)</t>
  </si>
  <si>
    <t xml:space="preserve">Deferred to Year 3 — MRI 1.5T</t>
  </si>
  <si>
    <t xml:space="preserve">Held back until IPD volumes justify it — a real capital-discipline decision</t>
  </si>
  <si>
    <t xml:space="preserve">D.  DEPRECIABLE ASSET BLOCKS</t>
  </si>
  <si>
    <t xml:space="preserve">Contingency and IDC are allocated pro-rata across the depreciable blocks.</t>
  </si>
  <si>
    <t xml:space="preserve">Allocation base (depreciable hard cost, excl. land and pre-operative)</t>
  </si>
  <si>
    <t xml:space="preserve">Uplift factor for contingency + IDC</t>
  </si>
  <si>
    <t xml:space="preserve">Block</t>
  </si>
  <si>
    <t xml:space="preserve">Gross before uplift</t>
  </si>
  <si>
    <t xml:space="preserve">Gross block</t>
  </si>
  <si>
    <t xml:space="preserve">SLM rate</t>
  </si>
  <si>
    <t xml:space="preserve">    Building, civil, MEP &amp; interiors</t>
  </si>
  <si>
    <t xml:space="preserve">    Pre-operative expenses (amortised)</t>
  </si>
  <si>
    <t xml:space="preserve">    Land (not depreciated)</t>
  </si>
  <si>
    <t xml:space="preserve">Total gross block</t>
  </si>
  <si>
    <t xml:space="preserve">Check — gross block + margin money must equal cost of project</t>
  </si>
  <si>
    <t xml:space="preserve">DEPRECIATION &amp; AMORTISATION SCHEDULE</t>
  </si>
  <si>
    <t xml:space="preserve">Book depreciation on the straight-line method (Companies Act 2013, Schedule II). Rs Lakh.</t>
  </si>
  <si>
    <t xml:space="preserve">Particulars</t>
  </si>
  <si>
    <t xml:space="preserve">Maintenance capex incurred in the year</t>
  </si>
  <si>
    <t xml:space="preserve">Expansion capex — MRI (Year 3)</t>
  </si>
  <si>
    <t xml:space="preserve">Total capex in the year</t>
  </si>
  <si>
    <t xml:space="preserve">Depreciation by block</t>
  </si>
  <si>
    <t xml:space="preserve">    Medical equipment (incl. MRI from Year 3)</t>
  </si>
  <si>
    <t xml:space="preserve">    IT, HIS &amp; PACS (6-year life — fully written off after Year 6)</t>
  </si>
  <si>
    <t xml:space="preserve">    Pre-operative expenses — amortisation</t>
  </si>
  <si>
    <t xml:space="preserve">    Depreciation on maintenance capex @ 10%</t>
  </si>
  <si>
    <t xml:space="preserve">TOTAL DEPRECIATION &amp; AMORTISATION</t>
  </si>
  <si>
    <t xml:space="preserve">Net block roll-forward</t>
  </si>
  <si>
    <t xml:space="preserve">Opening net block</t>
  </si>
  <si>
    <t xml:space="preserve">Closing net block</t>
  </si>
  <si>
    <t xml:space="preserve">Income-tax depreciation is computed on the written-down-value method at different rates (building 10%, plant &amp;</t>
  </si>
  <si>
    <t xml:space="preserve">machinery 15%, computers 40%), which produces a timing difference and therefore a deferred tax liability. This model</t>
  </si>
  <si>
    <t xml:space="preserve">computes tax on book profit for simplicity and flags the difference below rather than maintaining a full DTA/DTL schedule.</t>
  </si>
  <si>
    <t xml:space="preserve">Income-tax depreciation (WDV) — for deferred-tax context only</t>
  </si>
  <si>
    <t xml:space="preserve">Opening WDV — plant &amp; machinery block</t>
  </si>
  <si>
    <t xml:space="preserve">    Income-tax depreciation @ 15% WDV</t>
  </si>
  <si>
    <t xml:space="preserve">Closing WDV</t>
  </si>
  <si>
    <t xml:space="preserve">Timing difference vs book depreciation on the same blocks</t>
  </si>
  <si>
    <t xml:space="preserve">Positive = tax depreciation exceeds book, creating a DTL</t>
  </si>
  <si>
    <t xml:space="preserve">REVENUE BUILD-UP</t>
  </si>
  <si>
    <t xml:space="preserve">Bottom-up: bed-days x ARPOB for inpatient, footfall x ticket for outpatient. Rs Lakh unless stated.</t>
  </si>
  <si>
    <t xml:space="preserve">A.  Inpatient department (IPD)</t>
  </si>
  <si>
    <t xml:space="preserve">    Operational beds</t>
  </si>
  <si>
    <t xml:space="preserve">    Occupancy</t>
  </si>
  <si>
    <t xml:space="preserve">    Occupied bed-days</t>
  </si>
  <si>
    <t xml:space="preserve">bed-days</t>
  </si>
  <si>
    <t xml:space="preserve">    Average length of stay</t>
  </si>
  <si>
    <t xml:space="preserve">    Admissions (discharges)</t>
  </si>
  <si>
    <t xml:space="preserve">patients</t>
  </si>
  <si>
    <t xml:space="preserve">    ARPOB — gross of payer discount</t>
  </si>
  <si>
    <t xml:space="preserve">    Weighted realisation index (payer mix)</t>
  </si>
  <si>
    <t xml:space="preserve">    ARPOB — net realised</t>
  </si>
  <si>
    <t xml:space="preserve">    IPD revenue</t>
  </si>
  <si>
    <t xml:space="preserve">ARPOB by convention includes drugs and diagnostics consumed by inpatients</t>
  </si>
  <si>
    <t xml:space="preserve">B.  Outpatient department (OPD)</t>
  </si>
  <si>
    <t xml:space="preserve">    OPD footfall per day</t>
  </si>
  <si>
    <t xml:space="preserve">    Annual OPD visits</t>
  </si>
  <si>
    <t xml:space="preserve">visits</t>
  </si>
  <si>
    <t xml:space="preserve">    Net revenue per visit</t>
  </si>
  <si>
    <t xml:space="preserve">    OPD revenue</t>
  </si>
  <si>
    <t xml:space="preserve">C.  Outpatient diagnostics (radiology &amp; laboratory)</t>
  </si>
  <si>
    <t xml:space="preserve">    Conversion — share of OPD footfall</t>
  </si>
  <si>
    <t xml:space="preserve">    Average ticket size</t>
  </si>
  <si>
    <t xml:space="preserve">    Diagnostics revenue</t>
  </si>
  <si>
    <t xml:space="preserve">D.  Outpatient pharmacy</t>
  </si>
  <si>
    <t xml:space="preserve">    Pharmacy revenue</t>
  </si>
  <si>
    <t xml:space="preserve">E.  Dialysis unit</t>
  </si>
  <si>
    <t xml:space="preserve">    Session capacity</t>
  </si>
  <si>
    <t xml:space="preserve">sessions</t>
  </si>
  <si>
    <t xml:space="preserve">    Utilisation</t>
  </si>
  <si>
    <t xml:space="preserve">    Revenue per session</t>
  </si>
  <si>
    <t xml:space="preserve">    Dialysis revenue</t>
  </si>
  <si>
    <t xml:space="preserve">F.  Other operating income</t>
  </si>
  <si>
    <t xml:space="preserve">    Health checks, ambulance, academics, cafeteria &amp; retail rentals</t>
  </si>
  <si>
    <t xml:space="preserve">TOTAL OPERATING REVENUE</t>
  </si>
  <si>
    <t xml:space="preserve">Total operating revenue</t>
  </si>
  <si>
    <t xml:space="preserve">Revenue growth (YoY)</t>
  </si>
  <si>
    <t xml:space="preserve">Rs Crore</t>
  </si>
  <si>
    <t xml:space="preserve">Revenue mix</t>
  </si>
  <si>
    <t xml:space="preserve">    Inpatient (IPD)</t>
  </si>
  <si>
    <t xml:space="preserve">    Outpatient (OPD)</t>
  </si>
  <si>
    <t xml:space="preserve">    Diagnostics</t>
  </si>
  <si>
    <t xml:space="preserve">    Pharmacy</t>
  </si>
  <si>
    <t xml:space="preserve">    Dialysis</t>
  </si>
  <si>
    <t xml:space="preserve">    Other income</t>
  </si>
  <si>
    <t xml:space="preserve">Key per-unit metrics</t>
  </si>
  <si>
    <t xml:space="preserve">    Revenue per operational bed</t>
  </si>
  <si>
    <t xml:space="preserve">Mature Indian hospitals run Rs 90-130 L per bed</t>
  </si>
  <si>
    <t xml:space="preserve">    Revenue per sq ft of built-up area</t>
  </si>
  <si>
    <t xml:space="preserve">    Average revenue per inpatient (ARPP)</t>
  </si>
  <si>
    <t xml:space="preserve">ARPOB x ALOS. Rises with case-mix complexity, falls with efficiency gains.</t>
  </si>
  <si>
    <t xml:space="preserve">MANPOWER PLAN &amp; COST</t>
  </si>
  <si>
    <t xml:space="preserve">Headcount ramp by cadre. Cost escalates at the salary-escalation assumption. Rs Lakh.</t>
  </si>
  <si>
    <t xml:space="preserve">Cadre</t>
  </si>
  <si>
    <t xml:space="preserve">    Full-time consultants (retainer / employed)</t>
  </si>
  <si>
    <t xml:space="preserve">The clinical anchors. A tier-2 hospital lives or dies on retaining these.</t>
  </si>
  <si>
    <t xml:space="preserve">    Resident medical officers / DNB residents</t>
  </si>
  <si>
    <t xml:space="preserve">    Nursing staff</t>
  </si>
  <si>
    <t xml:space="preserve">Nurse:bed ratio ~1.4:1 at maturity, higher in critical care</t>
  </si>
  <si>
    <t xml:space="preserve">    Paramedical &amp; technicians</t>
  </si>
  <si>
    <t xml:space="preserve">    Pharmacy staff</t>
  </si>
  <si>
    <t xml:space="preserve">    Front office, admissions, billing &amp; TPA</t>
  </si>
  <si>
    <t xml:space="preserve">TPA desk size scales with the insurance mix</t>
  </si>
  <si>
    <t xml:space="preserve">    Finance, HR, IT, quality &amp; NABH</t>
  </si>
  <si>
    <t xml:space="preserve">    In-house support (biomedical, maintenance)</t>
  </si>
  <si>
    <t xml:space="preserve">Total headcount</t>
  </si>
  <si>
    <t xml:space="preserve">Staff per bed</t>
  </si>
  <si>
    <t xml:space="preserve">ratio</t>
  </si>
  <si>
    <t xml:space="preserve">Indian multi-specialty hospitals run 2.5-3.5 staff per bed</t>
  </si>
  <si>
    <t xml:space="preserve">Cost per head (Year 1, Rs Lakh per annum)</t>
  </si>
  <si>
    <t xml:space="preserve">Rs L p.a.</t>
  </si>
  <si>
    <t xml:space="preserve">Salary cost</t>
  </si>
  <si>
    <t xml:space="preserve">Cost at Year-1 rates (headcount x Year-1 cost per head)</t>
  </si>
  <si>
    <t xml:space="preserve">Cumulative escalation factor</t>
  </si>
  <si>
    <t xml:space="preserve">TOTAL SALARY &amp; WAGE COST</t>
  </si>
  <si>
    <t xml:space="preserve">Average cost per employee</t>
  </si>
  <si>
    <t xml:space="preserve">Salary cost as % of revenue</t>
  </si>
  <si>
    <t xml:space="preserve">Indian hospitals typically run 22-28% at maturity; higher in the ramp years</t>
  </si>
  <si>
    <t xml:space="preserve">OPERATING COST BUILD-UP</t>
  </si>
  <si>
    <t xml:space="preserve">Classified into variable (scales with revenue) and fixed / semi-fixed. Rs Lakh.</t>
  </si>
  <si>
    <t xml:space="preserve">Variable costs</t>
  </si>
  <si>
    <t xml:space="preserve">    Consultant payout — fee-for-service</t>
  </si>
  <si>
    <t xml:space="preserve">% of IPD+OPD</t>
  </si>
  <si>
    <t xml:space="preserve">    Consumables — drugs, implants, disposables, reagents</t>
  </si>
  <si>
    <t xml:space="preserve">% of revenue</t>
  </si>
  <si>
    <t xml:space="preserve">Total variable costs</t>
  </si>
  <si>
    <t xml:space="preserve">Fixed &amp; semi-fixed costs</t>
  </si>
  <si>
    <t xml:space="preserve">    Salaries &amp; wages</t>
  </si>
  <si>
    <t xml:space="preserve">    Power &amp; fuel</t>
  </si>
  <si>
    <t xml:space="preserve">    Outsourced services</t>
  </si>
  <si>
    <t xml:space="preserve">    Repairs &amp; maintenance</t>
  </si>
  <si>
    <t xml:space="preserve">    Administrative &amp; other overheads</t>
  </si>
  <si>
    <t xml:space="preserve">    Marketing &amp; business development</t>
  </si>
  <si>
    <t xml:space="preserve">    Insurance, rates &amp; taxes, licences</t>
  </si>
  <si>
    <t xml:space="preserve">Total fixed &amp; semi-fixed costs</t>
  </si>
  <si>
    <t xml:space="preserve">TOTAL OPERATING EXPENDITURE</t>
  </si>
  <si>
    <t xml:space="preserve">Total operating expenditure</t>
  </si>
  <si>
    <t xml:space="preserve">Operating expenditure as % of revenue</t>
  </si>
  <si>
    <t xml:space="preserve">EBITDA</t>
  </si>
  <si>
    <t xml:space="preserve">EBITDA margin</t>
  </si>
  <si>
    <t xml:space="preserve">ICRA: sector operating margin 22-24%. A well-run tier-2 asset reaches 25-27% at maturity.</t>
  </si>
  <si>
    <t xml:space="preserve">EBITDA per operational bed</t>
  </si>
  <si>
    <t xml:space="preserve">Cost structure analysis</t>
  </si>
  <si>
    <t xml:space="preserve">    Variable costs as % of revenue</t>
  </si>
  <si>
    <t xml:space="preserve">    Fixed costs as % of revenue</t>
  </si>
  <si>
    <t xml:space="preserve">Falls sharply as occupancy ramps — this is the operating leverage that makes hospitals attractive</t>
  </si>
  <si>
    <t xml:space="preserve">    Contribution margin ratio</t>
  </si>
  <si>
    <t xml:space="preserve">WORKING CAPITAL</t>
  </si>
  <si>
    <t xml:space="preserve">Receivables are driven by the payer mix — the single largest working-capital lever in an Indian hospital. Rs Lakh.</t>
  </si>
  <si>
    <t xml:space="preserve">Current assets</t>
  </si>
  <si>
    <t xml:space="preserve">    Debtor days (weighted by payer mix)</t>
  </si>
  <si>
    <t xml:space="preserve">    Trade receivables</t>
  </si>
  <si>
    <t xml:space="preserve">    Inventory (pharmacy, implants, reagents)</t>
  </si>
  <si>
    <t xml:space="preserve">    Other current assets (advances, deposits, prepaid)</t>
  </si>
  <si>
    <t xml:space="preserve">Total current assets (excl. cash)</t>
  </si>
  <si>
    <t xml:space="preserve">Current liabilities</t>
  </si>
  <si>
    <t xml:space="preserve">    Trade payables</t>
  </si>
  <si>
    <t xml:space="preserve">    Other current liabilities (statutory dues, provisions, accruals)</t>
  </si>
  <si>
    <t xml:space="preserve">Total current liabilities (excl. borrowings)</t>
  </si>
  <si>
    <t xml:space="preserve">NET WORKING CAPITAL</t>
  </si>
  <si>
    <t xml:space="preserve">Net working capital</t>
  </si>
  <si>
    <t xml:space="preserve">(Increase) / decrease in net working capital</t>
  </si>
  <si>
    <t xml:space="preserve">A cash OUTFLOW when positive — growth consumes working capital</t>
  </si>
  <si>
    <t xml:space="preserve">Net working capital in days of revenue</t>
  </si>
  <si>
    <t xml:space="preserve">Cash conversion cycle</t>
  </si>
  <si>
    <t xml:space="preserve">Debtor days + inventory days - creditor days</t>
  </si>
  <si>
    <t xml:space="preserve">Why this matters: switch the Control Panel payer mix to 'Government-heavy' and watch debtor days jump from 48 to 64.</t>
  </si>
  <si>
    <t xml:space="preserve">On roughly Rs 100 Cr of mature revenue that is about Rs 4.5 Cr of additional permanent working capital — funded by debt,</t>
  </si>
  <si>
    <t xml:space="preserve">at 11.5%. Government schemes look like free volume until you price the receivable.</t>
  </si>
  <si>
    <t xml:space="preserve">TERM LOAN — QUARTERLY REPAYMENT SCHEDULE</t>
  </si>
  <si>
    <t xml:space="preserve">6 construction quarters (drawdown) + 12 moratorium quarters + 28 quarterly instalments = 46 quarters, ~11.5 years door-to-door. Rs Lakh.</t>
  </si>
  <si>
    <t xml:space="preserve">Sanctioned term loan</t>
  </si>
  <si>
    <t xml:space="preserve">Moratorium: interest is serviced from the promoter support facility during construction and</t>
  </si>
  <si>
    <t xml:space="preserve">Interest rate p.a.</t>
  </si>
  <si>
    <t xml:space="preserve">the 36 months after COD. Principal repayment begins in operating Year 4, at quarter 19 overall.</t>
  </si>
  <si>
    <t xml:space="preserve">Quarterly rate</t>
  </si>
  <si>
    <t xml:space="preserve">The ladder is back-ended deliberately, to match the occupancy ramp rather than fight it.</t>
  </si>
  <si>
    <t xml:space="preserve">Qtr</t>
  </si>
  <si>
    <t xml:space="preserve">Phase</t>
  </si>
  <si>
    <t xml:space="preserve">Opening principal</t>
  </si>
  <si>
    <t xml:space="preserve">Drawdown</t>
  </si>
  <si>
    <t xml:space="preserve">Principal repaid</t>
  </si>
  <si>
    <t xml:space="preserve">Interest accrued</t>
  </si>
  <si>
    <t xml:space="preserve">Total debt service</t>
  </si>
  <si>
    <t xml:space="preserve">Closing principal</t>
  </si>
  <si>
    <t xml:space="preserve">Cumulative repaid</t>
  </si>
  <si>
    <t xml:space="preserve">Q1</t>
  </si>
  <si>
    <t xml:space="preserve">Construction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</si>
  <si>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</si>
  <si>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</si>
  <si>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</si>
  <si>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</si>
  <si>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</si>
  <si>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</si>
  <si>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Moratorium</t>
  </si>
  <si>
    <t xml:space="preserve">Q8</t>
  </si>
  <si>
    <t xml:space="preserve">Q9</t>
  </si>
  <si>
    <t xml:space="preserve">Q10</t>
  </si>
  <si>
    <t xml:space="preserve">Q11</t>
  </si>
  <si>
    <t xml:space="preserve">Q12</t>
  </si>
  <si>
    <t xml:space="preserve">Q13</t>
  </si>
  <si>
    <t xml:space="preserve">Q14</t>
  </si>
  <si>
    <t xml:space="preserve">Q15</t>
  </si>
  <si>
    <t xml:space="preserve">Q16</t>
  </si>
  <si>
    <t xml:space="preserve">Q17</t>
  </si>
  <si>
    <t xml:space="preserve">Q18</t>
  </si>
  <si>
    <t xml:space="preserve">Q19</t>
  </si>
  <si>
    <t xml:space="preserve">Repayment</t>
  </si>
  <si>
    <t xml:space="preserve">Q20</t>
  </si>
  <si>
    <t xml:space="preserve">Q21</t>
  </si>
  <si>
    <t xml:space="preserve">Q22</t>
  </si>
  <si>
    <t xml:space="preserve">Q23</t>
  </si>
  <si>
    <t xml:space="preserve">Q24</t>
  </si>
  <si>
    <t xml:space="preserve">Q25</t>
  </si>
  <si>
    <t xml:space="preserve">Q26</t>
  </si>
  <si>
    <t xml:space="preserve">Q27</t>
  </si>
  <si>
    <t xml:space="preserve">Q28</t>
  </si>
  <si>
    <t xml:space="preserve">Q29</t>
  </si>
  <si>
    <t xml:space="preserve">Q30</t>
  </si>
  <si>
    <t xml:space="preserve">Q31</t>
  </si>
  <si>
    <t xml:space="preserve">Q32</t>
  </si>
  <si>
    <t xml:space="preserve">Q33</t>
  </si>
  <si>
    <t xml:space="preserve">Q34</t>
  </si>
  <si>
    <t xml:space="preserve">Q35</t>
  </si>
  <si>
    <t xml:space="preserve">Q36</t>
  </si>
  <si>
    <t xml:space="preserve">Q37</t>
  </si>
  <si>
    <t xml:space="preserve">Q38</t>
  </si>
  <si>
    <t xml:space="preserve">Q39</t>
  </si>
  <si>
    <t xml:space="preserve">Q40</t>
  </si>
  <si>
    <t xml:space="preserve">Q41</t>
  </si>
  <si>
    <t xml:space="preserve">Q42</t>
  </si>
  <si>
    <t xml:space="preserve">Q43</t>
  </si>
  <si>
    <t xml:space="preserve">Q44</t>
  </si>
  <si>
    <t xml:space="preserve">Q45</t>
  </si>
  <si>
    <t xml:space="preserve">Q46</t>
  </si>
  <si>
    <t xml:space="preserve">Integrity check — total principal repaid must equal the sanction</t>
  </si>
  <si>
    <t xml:space="preserve">Number of principal instalments</t>
  </si>
  <si>
    <t xml:space="preserve">Total interest paid over the life of the loan</t>
  </si>
  <si>
    <t xml:space="preserve">Total interest as % of sanction</t>
  </si>
  <si>
    <t xml:space="preserve">DEBT SCHEDULE — ANNUAL</t>
  </si>
  <si>
    <t xml:space="preserve">Term loan plus the working-capital facility. Operating Year 1 begins after COD. Rs Lakh.</t>
  </si>
  <si>
    <t xml:space="preserve">Term loan</t>
  </si>
  <si>
    <t xml:space="preserve">    Opening balance</t>
  </si>
  <si>
    <t xml:space="preserve">    Repayment ladder — % of sanction</t>
  </si>
  <si>
    <t xml:space="preserve">    Principal repaid</t>
  </si>
  <si>
    <t xml:space="preserve">    Interest on term loan</t>
  </si>
  <si>
    <t xml:space="preserve">Interest on the average balance during the year</t>
  </si>
  <si>
    <t xml:space="preserve">    Closing balance</t>
  </si>
  <si>
    <t xml:space="preserve">Working-capital facility (cash credit)</t>
  </si>
  <si>
    <t xml:space="preserve">    Sanctioned limit</t>
  </si>
  <si>
    <t xml:space="preserve">    Amount drawn</t>
  </si>
  <si>
    <t xml:space="preserve">    Interest on working-capital facility</t>
  </si>
  <si>
    <t xml:space="preserve">    Change in working-capital borrowing</t>
  </si>
  <si>
    <t xml:space="preserve">TOTAL BORROWINGS &amp; FINANCE COST</t>
  </si>
  <si>
    <t xml:space="preserve">Total borrowings (closing)</t>
  </si>
  <si>
    <t xml:space="preserve">Total finance cost</t>
  </si>
  <si>
    <t xml:space="preserve">Total debt service (term-loan interest + principal)</t>
  </si>
  <si>
    <t xml:space="preserve">Effective blended cost of debt</t>
  </si>
  <si>
    <t xml:space="preserve">PROFIT &amp; LOSS STATEMENT</t>
  </si>
  <si>
    <t xml:space="preserve">Rs Lakh. Tax computed under s.115BAA with business-loss carry-forward.</t>
  </si>
  <si>
    <t xml:space="preserve">Revenue from operations</t>
  </si>
  <si>
    <t xml:space="preserve">Operating expenditure</t>
  </si>
  <si>
    <t xml:space="preserve">    Consultant payout</t>
  </si>
  <si>
    <t xml:space="preserve">    Consumables — drugs, implants, disposables</t>
  </si>
  <si>
    <t xml:space="preserve">    Employee benefit expense</t>
  </si>
  <si>
    <t xml:space="preserve">    Administrative &amp; other expenses</t>
  </si>
  <si>
    <t xml:space="preserve">    Insurance, rates &amp; taxes</t>
  </si>
  <si>
    <t xml:space="preserve">Depreciation &amp; amortisation</t>
  </si>
  <si>
    <t xml:space="preserve">EBIT / Operating profit</t>
  </si>
  <si>
    <t xml:space="preserve">EBIT margin</t>
  </si>
  <si>
    <t xml:space="preserve">Finance cost</t>
  </si>
  <si>
    <t xml:space="preserve">Profit before tax (PBT)</t>
  </si>
  <si>
    <t xml:space="preserve">Taxation — s.115BAA with loss carry-forward</t>
  </si>
  <si>
    <t xml:space="preserve">    Accumulated loss brought forward</t>
  </si>
  <si>
    <t xml:space="preserve">    Taxable profit after set-off</t>
  </si>
  <si>
    <t xml:space="preserve">    Accumulated loss carried forward</t>
  </si>
  <si>
    <t xml:space="preserve">    Current tax @ 25.168%</t>
  </si>
  <si>
    <t xml:space="preserve">    Effective tax rate</t>
  </si>
  <si>
    <t xml:space="preserve">PROFIT AFTER TAX</t>
  </si>
  <si>
    <t xml:space="preserve">Profit after tax (PAT)</t>
  </si>
  <si>
    <t xml:space="preserve">PAT margin</t>
  </si>
  <si>
    <t xml:space="preserve">Cumulative PAT</t>
  </si>
  <si>
    <t xml:space="preserve">Common-size P&amp;L (% of revenue)</t>
  </si>
  <si>
    <t xml:space="preserve">    Consumables</t>
  </si>
  <si>
    <t xml:space="preserve">    Employee benefits</t>
  </si>
  <si>
    <t xml:space="preserve">    Administrative &amp; other</t>
  </si>
  <si>
    <t xml:space="preserve">    Marketing</t>
  </si>
  <si>
    <t xml:space="preserve">    Insurance &amp; taxes</t>
  </si>
  <si>
    <t xml:space="preserve">    Depreciation &amp; amortisation</t>
  </si>
  <si>
    <t xml:space="preserve">    Finance cost</t>
  </si>
  <si>
    <t xml:space="preserve">CASH FLOW STATEMENT</t>
  </si>
  <si>
    <t xml:space="preserve">Rs Lakh. Opening cash in Year 1 = promoter support facility + margin money, less the upfront fee.</t>
  </si>
  <si>
    <t xml:space="preserve">A.  Cash flow from operations</t>
  </si>
  <si>
    <t xml:space="preserve">    EBITDA</t>
  </si>
  <si>
    <t xml:space="preserve">    Less: current tax paid</t>
  </si>
  <si>
    <t xml:space="preserve">    Less: increase in net working capital</t>
  </si>
  <si>
    <t xml:space="preserve">Net cash from operating activities</t>
  </si>
  <si>
    <t xml:space="preserve">B.  Cash flow from investing</t>
  </si>
  <si>
    <t xml:space="preserve">    Capital expenditure (maintenance + expansion)</t>
  </si>
  <si>
    <t xml:space="preserve">Net cash used in investing activities</t>
  </si>
  <si>
    <t xml:space="preserve">C.  Cash flow from financing</t>
  </si>
  <si>
    <t xml:space="preserve">    Finance cost paid</t>
  </si>
  <si>
    <t xml:space="preserve">    Term loan principal repaid</t>
  </si>
  <si>
    <t xml:space="preserve">Net cash from financing activities</t>
  </si>
  <si>
    <t xml:space="preserve">MOVEMENT IN CASH</t>
  </si>
  <si>
    <t xml:space="preserve">Net increase / (decrease) in cash</t>
  </si>
  <si>
    <t xml:space="preserve">Opening cash &amp; bank balance</t>
  </si>
  <si>
    <t xml:space="preserve">Closing cash &amp; bank balance</t>
  </si>
  <si>
    <t xml:space="preserve">Minimum-cash covenant test (Rs 150 L)</t>
  </si>
  <si>
    <t xml:space="preserve">Free cash flow measures</t>
  </si>
  <si>
    <t xml:space="preserve">Free cash flow to firm (FCFF) — unlevered</t>
  </si>
  <si>
    <t xml:space="preserve">EBITDA less notional tax on EBIT, less change in WC, less capex. Ignores financing.</t>
  </si>
  <si>
    <t xml:space="preserve">Free cash flow to equity (FCFE) — levered</t>
  </si>
  <si>
    <t xml:space="preserve">What is actually available to the shareholder</t>
  </si>
  <si>
    <t xml:space="preserve">Cumulative FCFE</t>
  </si>
  <si>
    <t xml:space="preserve">BALANCE SHEET</t>
  </si>
  <si>
    <t xml:space="preserve">Rs Lakh. The balance check at the bottom must read OK in every year.</t>
  </si>
  <si>
    <t xml:space="preserve">EQUITY &amp; LIABILITIES</t>
  </si>
  <si>
    <t xml:space="preserve">Shareholders' funds</t>
  </si>
  <si>
    <t xml:space="preserve">    Share capital &amp; promoter contribution</t>
  </si>
  <si>
    <t xml:space="preserve">Equity in the cost of project plus the promoter support facility</t>
  </si>
  <si>
    <t xml:space="preserve">    Reserves &amp; surplus</t>
  </si>
  <si>
    <t xml:space="preserve">Upfront loan fee written off in Year 1</t>
  </si>
  <si>
    <t xml:space="preserve">Net worth</t>
  </si>
  <si>
    <t xml:space="preserve">Non-current liabilities</t>
  </si>
  <si>
    <t xml:space="preserve">    Long-term borrowings (term loan)</t>
  </si>
  <si>
    <t xml:space="preserve">    Short-term borrowings (working-capital facility)</t>
  </si>
  <si>
    <t xml:space="preserve">    Other current liabilities &amp; provisions</t>
  </si>
  <si>
    <t xml:space="preserve">Total current liabilities</t>
  </si>
  <si>
    <t xml:space="preserve">TOTAL EQUITY &amp; LIABILITIES</t>
  </si>
  <si>
    <t xml:space="preserve">ASSETS</t>
  </si>
  <si>
    <t xml:space="preserve">Non-current assets</t>
  </si>
  <si>
    <t xml:space="preserve">    Property, plant &amp; equipment (net block)</t>
  </si>
  <si>
    <t xml:space="preserve">    Inventories</t>
  </si>
  <si>
    <t xml:space="preserve">    Other current assets</t>
  </si>
  <si>
    <t xml:space="preserve">    Cash &amp; bank balances</t>
  </si>
  <si>
    <t xml:space="preserve">Total current assets</t>
  </si>
  <si>
    <t xml:space="preserve">TOTAL ASSETS</t>
  </si>
  <si>
    <t xml:space="preserve">BALANCE CHECK</t>
  </si>
  <si>
    <t xml:space="preserve">Assets less Equity &amp; Liabilities</t>
  </si>
  <si>
    <t xml:space="preserve">Check</t>
  </si>
  <si>
    <t xml:space="preserve">Balance sheet metrics</t>
  </si>
  <si>
    <t xml:space="preserve">    Debt : Equity ratio</t>
  </si>
  <si>
    <t xml:space="preserve">    Net debt</t>
  </si>
  <si>
    <t xml:space="preserve">    Net debt / EBITDA</t>
  </si>
  <si>
    <t xml:space="preserve">Lenders typically want this below 3.5x by the stabilised year</t>
  </si>
  <si>
    <t xml:space="preserve">    Current ratio</t>
  </si>
  <si>
    <t xml:space="preserve">    Total outside liabilities / tangible net worth</t>
  </si>
  <si>
    <t xml:space="preserve">DSCR &amp; COVENANT COMPLIANCE</t>
  </si>
  <si>
    <t xml:space="preserve">Rs Lakh. Covenants are tested from the first principal-repayment year (Year 4), per lender convention.</t>
  </si>
  <si>
    <t xml:space="preserve">Cash available for debt service (CFADS)</t>
  </si>
  <si>
    <t xml:space="preserve">    Less: tax paid</t>
  </si>
  <si>
    <t xml:space="preserve">    Less: increase in working capital</t>
  </si>
  <si>
    <t xml:space="preserve">CFADS</t>
  </si>
  <si>
    <t xml:space="preserve">Debt service</t>
  </si>
  <si>
    <t xml:space="preserve">    Term-loan interest</t>
  </si>
  <si>
    <t xml:space="preserve">    Term-loan principal</t>
  </si>
  <si>
    <t xml:space="preserve">DEBT SERVICE COVERAGE RATIOS</t>
  </si>
  <si>
    <t xml:space="preserve">DSCR — cash basis (CFADS / debt service)</t>
  </si>
  <si>
    <t xml:space="preserve">DSCR — accrual basis ((PAT + dep + interest) / debt service)</t>
  </si>
  <si>
    <t xml:space="preserve">The formulation most Indian sanction letters use</t>
  </si>
  <si>
    <t xml:space="preserve">Interest coverage ratio (EBITDA / finance cost)</t>
  </si>
  <si>
    <t xml:space="preserve">Covenant tested this year?</t>
  </si>
  <si>
    <t xml:space="preserve">DSCR covenant (&gt;= 1.25x)</t>
  </si>
  <si>
    <t xml:space="preserve">DSCR for covenant testing (99 where not tested)</t>
  </si>
  <si>
    <t xml:space="preserve">Helper row - lets MIN() ignore the moratorium years without an array formula</t>
  </si>
  <si>
    <t xml:space="preserve">Summary of the covenant package</t>
  </si>
  <si>
    <t xml:space="preserve">Minimum DSCR over the repayment period</t>
  </si>
  <si>
    <t xml:space="preserve">Average DSCR over the repayment period</t>
  </si>
  <si>
    <t xml:space="preserve">Number of covenant breaches</t>
  </si>
  <si>
    <t xml:space="preserve">Verdict</t>
  </si>
  <si>
    <t xml:space="preserve">Other covenants</t>
  </si>
  <si>
    <t xml:space="preserve">Covenant</t>
  </si>
  <si>
    <t xml:space="preserve">Threshold</t>
  </si>
  <si>
    <t xml:space="preserve">Modelled</t>
  </si>
  <si>
    <t xml:space="preserve">Status</t>
  </si>
  <si>
    <t xml:space="preserve">    Total debt / EBITDA (stabilised, Year 6 onward)</t>
  </si>
  <si>
    <t xml:space="preserve">&lt;= 3.50x</t>
  </si>
  <si>
    <t xml:space="preserve">    Total outside liabilities / tangible net worth (Year 5 onward)</t>
  </si>
  <si>
    <t xml:space="preserve">&lt;= 2.50x</t>
  </si>
  <si>
    <t xml:space="preserve">    Current ratio (stabilised)</t>
  </si>
  <si>
    <t xml:space="preserve">&gt;= 1.10x</t>
  </si>
  <si>
    <t xml:space="preserve">    Promoter contribution to total funding</t>
  </si>
  <si>
    <t xml:space="preserve">&gt;= 30%</t>
  </si>
  <si>
    <t xml:space="preserve">    Minimum cash balance maintained throughout</t>
  </si>
  <si>
    <t xml:space="preserve">&gt;= Rs 150 L</t>
  </si>
  <si>
    <t xml:space="preserve">DISCLOSED EXCEPTION — leverage on a net-worth basis during the ramp years</t>
  </si>
  <si>
    <t xml:space="preserve">    Peak TOL / TNW during Years 1-4</t>
  </si>
  <si>
    <t xml:space="preserve">n/a</t>
  </si>
  <si>
    <t xml:space="preserve">DISCLOSED</t>
  </si>
  <si>
    <t xml:space="preserve">    Year in which the peak occurs</t>
  </si>
  <si>
    <t xml:space="preserve">This is a real constraint, not a modelling artefact, and it should be raised with the lender rather than</t>
  </si>
  <si>
    <t xml:space="preserve">discovered by them. Accumulated start-up losses of roughly Rs 25 Cr over Years 1-3 erode tangible net worth</t>
  </si>
  <si>
    <t xml:space="preserve">faster than the term loan amortises, so leverage measured against net worth peaks well above a conventional</t>
  </si>
  <si>
    <t xml:space="preserve">2.50x covenant before collapsing to under 0.2x by Year 10. Every greenfield hospital does this; the ratio is</t>
  </si>
  <si>
    <t xml:space="preserve">simply the wrong lens during a ramp.</t>
  </si>
  <si>
    <t xml:space="preserve">Three ways the market handles it, in descending order of preference:</t>
  </si>
  <si>
    <t xml:space="preserve">   1.  A covenant holiday on TOL/TNW until the start of Year 5, with DSCR and minimum-cash covenants</t>
  </si>
  <si>
    <t xml:space="preserve">       carrying the credit discipline in the interim. This is the cleanest and the most commonly granted.</t>
  </si>
  <si>
    <t xml:space="preserve">   2.  Counting the promoter's subordinated support loan as quasi-equity in the TNW computation, backed by a</t>
  </si>
  <si>
    <t xml:space="preserve">       non-withdrawal undertaking for the tenor of the facility. Already reflected here, since that facility</t>
  </si>
  <si>
    <t xml:space="preserve">       sits inside net worth on the Balance Sheet.</t>
  </si>
  <si>
    <t xml:space="preserve">   3.  Sizing the promoter's Year-1 equity contribution larger so that net worth never falls far enough to</t>
  </si>
  <si>
    <t xml:space="preserve">       trip the ratio. Effective, but expensive in return terms and it front-loads the promoter's exposure.</t>
  </si>
  <si>
    <t xml:space="preserve">The recommendation is option 1 plus option 2, documented as a condition precedent in the sanction letter.</t>
  </si>
  <si>
    <t xml:space="preserve">RETURNS ANALYSIS</t>
  </si>
  <si>
    <t xml:space="preserve">Rs Lakh. Column B holds the t=0 investment; columns C-L hold operating Years 1-10.</t>
  </si>
  <si>
    <t xml:space="preserve">t = 0</t>
  </si>
  <si>
    <t xml:space="preserve">Notional tax on EBIT (for the unlevered cash flow)</t>
  </si>
  <si>
    <t xml:space="preserve">    Loss brought forward (unlevered basis)</t>
  </si>
  <si>
    <t xml:space="preserve">    Taxable EBIT after set-off</t>
  </si>
  <si>
    <t xml:space="preserve">    Loss carried forward</t>
  </si>
  <si>
    <t xml:space="preserve">    Notional tax on EBIT</t>
  </si>
  <si>
    <t xml:space="preserve">A.  PROJECT (UNLEVERED) RETURNS</t>
  </si>
  <si>
    <t xml:space="preserve">Free cash flow to firm</t>
  </si>
  <si>
    <t xml:space="preserve">Terminal value at exit (Year 10 EBITDA x exit multiple)</t>
  </si>
  <si>
    <t xml:space="preserve">Initial investment (cost of project)</t>
  </si>
  <si>
    <t xml:space="preserve">Project cash flow</t>
  </si>
  <si>
    <t xml:space="preserve">Cumulative project cash flow</t>
  </si>
  <si>
    <t xml:space="preserve">Project IRR</t>
  </si>
  <si>
    <t xml:space="preserve">The return the ASSET earns, independent of how it is financed</t>
  </si>
  <si>
    <t xml:space="preserve">WACC / hurdle rate</t>
  </si>
  <si>
    <t xml:space="preserve">Spread over WACC</t>
  </si>
  <si>
    <t xml:space="preserve">Positive spread = value created</t>
  </si>
  <si>
    <t xml:space="preserve">Project NPV @ WACC</t>
  </si>
  <si>
    <t xml:space="preserve">Cash flows discounted from Year 1; the t=0 outflow added undiscounted</t>
  </si>
  <si>
    <t xml:space="preserve">NPV as % of investment</t>
  </si>
  <si>
    <t xml:space="preserve">Simple payback period</t>
  </si>
  <si>
    <t xml:space="preserve">Years until cumulative project cash flow turns positive</t>
  </si>
  <si>
    <t xml:space="preserve">B.  EQUITY (LEVERED) RETURNS</t>
  </si>
  <si>
    <t xml:space="preserve">Free cash flow to equity</t>
  </si>
  <si>
    <t xml:space="preserve">Exit enterprise value</t>
  </si>
  <si>
    <t xml:space="preserve">Less: net debt at exit</t>
  </si>
  <si>
    <t xml:space="preserve">Exit equity value</t>
  </si>
  <si>
    <t xml:space="preserve">Equity invested at t = 0</t>
  </si>
  <si>
    <t xml:space="preserve">Equity cash flow</t>
  </si>
  <si>
    <t xml:space="preserve">Cumulative equity cash flow</t>
  </si>
  <si>
    <t xml:space="preserve">Equity IRR</t>
  </si>
  <si>
    <t xml:space="preserve">The return the SHAREHOLDER earns after debt service</t>
  </si>
  <si>
    <t xml:space="preserve">Spread over hurdle</t>
  </si>
  <si>
    <t xml:space="preserve">Equity NPV @ 16% cost of equity</t>
  </si>
  <si>
    <t xml:space="preserve">Total cash returned to equity</t>
  </si>
  <si>
    <t xml:space="preserve">Money multiple (MOIC)</t>
  </si>
  <si>
    <t xml:space="preserve">Total cash out divided by cash in</t>
  </si>
  <si>
    <t xml:space="preserve">Equity payback period</t>
  </si>
  <si>
    <t xml:space="preserve">Reconciliation — why the equity IRR exceeds the project IRR</t>
  </si>
  <si>
    <t xml:space="preserve">Project IRR (asset return)</t>
  </si>
  <si>
    <t xml:space="preserve">Cost of debt, post-tax</t>
  </si>
  <si>
    <t xml:space="preserve">Positive spread (asset return less post-tax cost of debt)</t>
  </si>
  <si>
    <t xml:space="preserve">Equity IRR (levered)</t>
  </si>
  <si>
    <t xml:space="preserve">Leverage amplifies the return whenever the asset out-earns the debt. It amplifies losses too — which is exactly what the Monte Carlo sheet quantifies.</t>
  </si>
  <si>
    <t xml:space="preserve">BREAK-EVEN &amp; LEVERAGE ANALYSIS</t>
  </si>
  <si>
    <t xml:space="preserve">Rs Lakh. Separates costs into variable and fixed to find the minimum viable occupancy.</t>
  </si>
  <si>
    <t xml:space="preserve">Revenue</t>
  </si>
  <si>
    <t xml:space="preserve">Contribution</t>
  </si>
  <si>
    <t xml:space="preserve">Contribution margin ratio</t>
  </si>
  <si>
    <t xml:space="preserve">Every extra rupee of revenue contributes this much to fixed costs</t>
  </si>
  <si>
    <t xml:space="preserve">Principal repayment</t>
  </si>
  <si>
    <t xml:space="preserve">Break-even revenue</t>
  </si>
  <si>
    <t xml:space="preserve">    Operating break-even (covers fixed cash costs only)</t>
  </si>
  <si>
    <t xml:space="preserve">    Accounting break-even (fixed costs + depreciation + interest)</t>
  </si>
  <si>
    <t xml:space="preserve">    Cash break-even (fixed costs + interest + principal)</t>
  </si>
  <si>
    <t xml:space="preserve">The level of revenue at which the hospital can actually service its debt</t>
  </si>
  <si>
    <t xml:space="preserve">Break-even occupancy — the number the promoter should memorise</t>
  </si>
  <si>
    <t xml:space="preserve">    Actual occupancy</t>
  </si>
  <si>
    <t xml:space="preserve">    Operating break-even occupancy</t>
  </si>
  <si>
    <t xml:space="preserve">    Accounting break-even occupancy</t>
  </si>
  <si>
    <t xml:space="preserve">    Cash break-even occupancy</t>
  </si>
  <si>
    <t xml:space="preserve">    Margin of safety (actual less cash break-even occupancy)</t>
  </si>
  <si>
    <t xml:space="preserve">pp</t>
  </si>
  <si>
    <t xml:space="preserve">Negative means the hospital cannot cover debt service at that year's occupancy</t>
  </si>
  <si>
    <t xml:space="preserve">Leverage</t>
  </si>
  <si>
    <t xml:space="preserve">    Degree of operating leverage (contribution / EBIT)</t>
  </si>
  <si>
    <t xml:space="preserve">A 1% change in revenue moves EBIT by this many %</t>
  </si>
  <si>
    <t xml:space="preserve">    Degree of financial leverage (EBIT / PBT)</t>
  </si>
  <si>
    <t xml:space="preserve">    Degree of total leverage</t>
  </si>
  <si>
    <t xml:space="preserve">High total leverage is why hospital projects live or die on the occupancy ramp</t>
  </si>
  <si>
    <t xml:space="preserve">Reading this sheet: in the stabilised years the hospital breaks even on cash at roughly 55-60% occupancy against</t>
  </si>
  <si>
    <t xml:space="preserve">72% actual — a margin of safety of about 12 percentage points. In Year 3 that margin is far thinner. The whole</t>
  </si>
  <si>
    <t xml:space="preserve">financing structure exists to carry the business across the gap between commissioning and that margin appearing.</t>
  </si>
  <si>
    <t xml:space="preserve">UNIT ECONOMICS</t>
  </si>
  <si>
    <t xml:space="preserve">Per bed, per bed-day, per admission and per employee. The operating language of a hospital.</t>
  </si>
  <si>
    <t xml:space="preserve">Metric</t>
  </si>
  <si>
    <t xml:space="preserve">Per operational bed (Rs Lakh p.a.)</t>
  </si>
  <si>
    <t xml:space="preserve">    Revenue per bed</t>
  </si>
  <si>
    <t xml:space="preserve">    EBITDA per bed</t>
  </si>
  <si>
    <t xml:space="preserve">    Salary cost per bed</t>
  </si>
  <si>
    <t xml:space="preserve">    Consumables per bed</t>
  </si>
  <si>
    <t xml:space="preserve">    PAT per bed</t>
  </si>
  <si>
    <t xml:space="preserve">    Capital employed per bed</t>
  </si>
  <si>
    <t xml:space="preserve">Per occupied bed-day (Rs)</t>
  </si>
  <si>
    <t xml:space="preserve">    Revenue per occupied bed-day (total, incl. OPD &amp; other)</t>
  </si>
  <si>
    <t xml:space="preserve">    ARPOB — inpatient only (the reported metric)</t>
  </si>
  <si>
    <t xml:space="preserve">    Operating cost per occupied bed-day</t>
  </si>
  <si>
    <t xml:space="preserve">    EBITDA per occupied bed-day</t>
  </si>
  <si>
    <t xml:space="preserve">Per admission</t>
  </si>
  <si>
    <t xml:space="preserve">    Average revenue per patient (ARPP)</t>
  </si>
  <si>
    <t xml:space="preserve">    Annual admissions</t>
  </si>
  <si>
    <t xml:space="preserve">    Admissions per bed per year</t>
  </si>
  <si>
    <t xml:space="preserve">Bed turnover — the physical throughput of the asset</t>
  </si>
  <si>
    <t xml:space="preserve">Productivity &amp; asset efficiency</t>
  </si>
  <si>
    <t xml:space="preserve">    Revenue per employee</t>
  </si>
  <si>
    <t xml:space="preserve">    Asset turnover (revenue / total assets)</t>
  </si>
  <si>
    <t xml:space="preserve">Indian hospitals mature at roughly 0.8-1.0x. Below 0.6x signals over-investment.</t>
  </si>
  <si>
    <t xml:space="preserve">    Revenue / gross block</t>
  </si>
  <si>
    <t xml:space="preserve">    Return on capital employed (EBIT / capital employed)</t>
  </si>
  <si>
    <t xml:space="preserve">    Return on equity (PAT / net worth)</t>
  </si>
  <si>
    <t xml:space="preserve">    Return on assets (PAT / total assets)</t>
  </si>
  <si>
    <t xml:space="preserve">Payer-mix economics (active mix)</t>
  </si>
  <si>
    <t xml:space="preserve">Share</t>
  </si>
  <si>
    <t xml:space="preserve">Realisation</t>
  </si>
  <si>
    <t xml:space="preserve">    Cash / self-pay — share of revenue</t>
  </si>
  <si>
    <t xml:space="preserve">    Private insurance / TPA — share of revenue</t>
  </si>
  <si>
    <t xml:space="preserve">    Government schemes — share of revenue</t>
  </si>
  <si>
    <t xml:space="preserve">RATIO DASHBOARD</t>
  </si>
  <si>
    <t xml:space="preserve">Every ratio a lender, auditor or investor will ask for, in one place.</t>
  </si>
  <si>
    <t xml:space="preserve">Ratio</t>
  </si>
  <si>
    <t xml:space="preserve">1.  Growth</t>
  </si>
  <si>
    <t xml:space="preserve">    Revenue growth</t>
  </si>
  <si>
    <t xml:space="preserve">    EBITDA growth</t>
  </si>
  <si>
    <t xml:space="preserve">    Bed-day growth</t>
  </si>
  <si>
    <t xml:space="preserve">2.  Profitability</t>
  </si>
  <si>
    <t xml:space="preserve">    Gross contribution margin</t>
  </si>
  <si>
    <t xml:space="preserve">    EBITDA margin</t>
  </si>
  <si>
    <t xml:space="preserve">    EBIT margin</t>
  </si>
  <si>
    <t xml:space="preserve">    PBT margin</t>
  </si>
  <si>
    <t xml:space="preserve">    PAT margin</t>
  </si>
  <si>
    <t xml:space="preserve">    Return on equity (ROE)</t>
  </si>
  <si>
    <t xml:space="preserve">    Return on capital employed (ROCE)</t>
  </si>
  <si>
    <t xml:space="preserve">    Return on assets (ROA)</t>
  </si>
  <si>
    <t xml:space="preserve">3.  Leverage &amp; solvency</t>
  </si>
  <si>
    <t xml:space="preserve">    Debt : Equity</t>
  </si>
  <si>
    <t xml:space="preserve">    Term loan outstanding / gross block</t>
  </si>
  <si>
    <t xml:space="preserve">Security cover proxy</t>
  </si>
  <si>
    <t xml:space="preserve">4.  Coverage</t>
  </si>
  <si>
    <t xml:space="preserve">    DSCR — cash basis</t>
  </si>
  <si>
    <t xml:space="preserve">    DSCR — accrual basis</t>
  </si>
  <si>
    <t xml:space="preserve">    Interest coverage (EBITDA / finance cost)</t>
  </si>
  <si>
    <t xml:space="preserve">    Fixed charge coverage</t>
  </si>
  <si>
    <t xml:space="preserve">5.  Liquidity</t>
  </si>
  <si>
    <t xml:space="preserve">    Quick ratio</t>
  </si>
  <si>
    <t xml:space="preserve">    Cash &amp; bank balance</t>
  </si>
  <si>
    <t xml:space="preserve">6.  Efficiency / activity</t>
  </si>
  <si>
    <t xml:space="preserve">    Debtor days</t>
  </si>
  <si>
    <t xml:space="preserve">    Inventory days</t>
  </si>
  <si>
    <t xml:space="preserve">    Creditor days</t>
  </si>
  <si>
    <t xml:space="preserve">    Cash conversion cycle</t>
  </si>
  <si>
    <t xml:space="preserve">    Net working capital / revenue</t>
  </si>
  <si>
    <t xml:space="preserve">    Asset turnover</t>
  </si>
  <si>
    <t xml:space="preserve">7.  Operating KPIs</t>
  </si>
  <si>
    <t xml:space="preserve">    ARPOB (net, inpatient)</t>
  </si>
  <si>
    <t xml:space="preserve">    ALOS</t>
  </si>
  <si>
    <t xml:space="preserve">    Admissions per bed</t>
  </si>
  <si>
    <t xml:space="preserve">    Staff per bed</t>
  </si>
  <si>
    <t xml:space="preserve">    Salary cost as % of revenue</t>
  </si>
  <si>
    <t xml:space="preserve">    Consumables as % of revenue</t>
  </si>
  <si>
    <t xml:space="preserve">8.  DuPont decomposition of ROE</t>
  </si>
  <si>
    <t xml:space="preserve">    x  Asset turnover</t>
  </si>
  <si>
    <t xml:space="preserve">    x  Equity multiplier (assets / net worth)</t>
  </si>
  <si>
    <t xml:space="preserve">    =  Return on equity</t>
  </si>
  <si>
    <t xml:space="preserve">Cross-check: should equal the ROE reported above</t>
  </si>
  <si>
    <t xml:space="preserve">DISCOUNTED CASH FLOW VALUATION</t>
  </si>
  <si>
    <t xml:space="preserve">Rs Lakh. Enterprise value from unlevered free cash flow, with two independent terminal-value methods.</t>
  </si>
  <si>
    <t xml:space="preserve">Free cash flow to firm (FCFF)</t>
  </si>
  <si>
    <t xml:space="preserve">Discount factor at WACC</t>
  </si>
  <si>
    <t xml:space="preserve">Present value of FCFF</t>
  </si>
  <si>
    <t xml:space="preserve">Sum of PV of FCFF, Years 1-10</t>
  </si>
  <si>
    <t xml:space="preserve">METHOD 1 — GORDON GROWTH TERMINAL VALUE</t>
  </si>
  <si>
    <t xml:space="preserve">Terminal year FCFF (Year 10)</t>
  </si>
  <si>
    <t xml:space="preserve">Terminal growth rate (g)</t>
  </si>
  <si>
    <t xml:space="preserve">WACC</t>
  </si>
  <si>
    <t xml:space="preserve">Terminal value at end of Year 10</t>
  </si>
  <si>
    <t xml:space="preserve">TV = FCFF10 x (1+g) / (WACC - g)</t>
  </si>
  <si>
    <t xml:space="preserve">Discount factor for Year 10</t>
  </si>
  <si>
    <t xml:space="preserve">Present value of terminal value</t>
  </si>
  <si>
    <t xml:space="preserve">ENTERPRISE VALUE — Gordon growth</t>
  </si>
  <si>
    <t xml:space="preserve">Terminal value as % of enterprise value</t>
  </si>
  <si>
    <t xml:space="preserve">Above ~75% means the valuation rests almost entirely on an assumption about perpetuity</t>
  </si>
  <si>
    <t xml:space="preserve">METHOD 2 — EXIT MULTIPLE TERMINAL VALUE</t>
  </si>
  <si>
    <t xml:space="preserve">Year 10 EBITDA</t>
  </si>
  <si>
    <t xml:space="preserve">Unlisted 100-bed tier-2 asset. Listed Indian hospital chains trade far higher.</t>
  </si>
  <si>
    <t xml:space="preserve">ENTERPRISE VALUE — exit multiple</t>
  </si>
  <si>
    <t xml:space="preserve">VALUATION SUMMARY</t>
  </si>
  <si>
    <t xml:space="preserve">Enterprise value — Gordon growth</t>
  </si>
  <si>
    <t xml:space="preserve">Enterprise value — exit multiple</t>
  </si>
  <si>
    <t xml:space="preserve">Enterprise value — midpoint</t>
  </si>
  <si>
    <t xml:space="preserve">Less: net debt drawn at financial closure</t>
  </si>
  <si>
    <t xml:space="preserve">EQUITY VALUE — midpoint</t>
  </si>
  <si>
    <t xml:space="preserve">What the promoter's stake is worth on a DCF basis today</t>
  </si>
  <si>
    <t xml:space="preserve">Cost of project (the price actually paid to build it)</t>
  </si>
  <si>
    <t xml:space="preserve">Value created over cost</t>
  </si>
  <si>
    <t xml:space="preserve">EV midpoint less cost of project</t>
  </si>
  <si>
    <t xml:space="preserve">Value created as % of cost</t>
  </si>
  <si>
    <t xml:space="preserve">This should broadly reconcile to project NPV / investment</t>
  </si>
  <si>
    <t xml:space="preserve">Cross-check — project NPV from the Returns sheet</t>
  </si>
  <si>
    <t xml:space="preserve">Small differences arise because the NPV uses the exit-multiple terminal value only</t>
  </si>
  <si>
    <t xml:space="preserve">WACC build-up</t>
  </si>
  <si>
    <t xml:space="preserve">Risk-free rate (10-year G-Sec)</t>
  </si>
  <si>
    <t xml:space="preserve">Indicative</t>
  </si>
  <si>
    <t xml:space="preserve">Equity risk premium — India</t>
  </si>
  <si>
    <t xml:space="preserve">Beta — healthcare facilities, relevered</t>
  </si>
  <si>
    <t xml:space="preserve">Size / illiquidity premium — unlisted single-asset</t>
  </si>
  <si>
    <t xml:space="preserve">A 100-bed single-site hospital is not a diversified listed chain</t>
  </si>
  <si>
    <t xml:space="preserve">Cost of equity</t>
  </si>
  <si>
    <t xml:space="preserve">Rf + Beta x ERP + size premium</t>
  </si>
  <si>
    <t xml:space="preserve">Pre-tax cost of debt</t>
  </si>
  <si>
    <t xml:space="preserve">Post-tax cost of debt</t>
  </si>
  <si>
    <t xml:space="preserve">Target equity weight</t>
  </si>
  <si>
    <t xml:space="preserve">Long-run target structure, not the day-one structure</t>
  </si>
  <si>
    <t xml:space="preserve">Target debt weight</t>
  </si>
  <si>
    <t xml:space="preserve">WACC — calculated</t>
  </si>
  <si>
    <t xml:space="preserve">WACC — used in the model</t>
  </si>
  <si>
    <t xml:space="preserve">SCENARIO SUMMARY</t>
  </si>
  <si>
    <t xml:space="preserve">Values computed by re-running the full model at each scenario. Switch the Control Panel to make any one of these live.</t>
  </si>
  <si>
    <t xml:space="preserve">Cost of project (Rs Lakh)</t>
  </si>
  <si>
    <t xml:space="preserve">Term debt (Rs Lakh)</t>
  </si>
  <si>
    <t xml:space="preserve">Total promoter contribution (Rs Lakh)</t>
  </si>
  <si>
    <t xml:space="preserve">Revenue — Year 1 (Rs Lakh)</t>
  </si>
  <si>
    <t xml:space="preserve">Revenue — Year 5 (Rs Lakh)</t>
  </si>
  <si>
    <t xml:space="preserve">Revenue — Year 10 (Rs Lakh)</t>
  </si>
  <si>
    <t xml:space="preserve">EBITDA — Year 5 (Rs Lakh)</t>
  </si>
  <si>
    <t xml:space="preserve">EBITDA — Year 10 (Rs Lakh)</t>
  </si>
  <si>
    <t xml:space="preserve">EBITDA margin — Year 5</t>
  </si>
  <si>
    <t xml:space="preserve">EBITDA margin — Year 10</t>
  </si>
  <si>
    <t xml:space="preserve">PAT — Year 5 (Rs Lakh)</t>
  </si>
  <si>
    <t xml:space="preserve">PAT — Year 10 (Rs Lakh)</t>
  </si>
  <si>
    <t xml:space="preserve">First EBITDA-positive year</t>
  </si>
  <si>
    <t xml:space="preserve">n.m.</t>
  </si>
  <si>
    <t xml:space="preserve">First PAT-positive year</t>
  </si>
  <si>
    <t xml:space="preserve">Occupancy — Year 5</t>
  </si>
  <si>
    <t xml:space="preserve">Net ARPOB — Year 5 (Rs)</t>
  </si>
  <si>
    <t xml:space="preserve">Cash break-even occupancy — Year 5</t>
  </si>
  <si>
    <t xml:space="preserve">Minimum DSCR (post-moratorium)</t>
  </si>
  <si>
    <t xml:space="preserve">Average DSCR (post-moratorium)</t>
  </si>
  <si>
    <t xml:space="preserve">Covenant breach years</t>
  </si>
  <si>
    <t xml:space="preserve">Minimum cash balance (Rs Lakh)</t>
  </si>
  <si>
    <t xml:space="preserve">Project NPV @ 12.5% (Rs Lakh)</t>
  </si>
  <si>
    <t xml:space="preserve">Exit enterprise value (Rs Lakh)</t>
  </si>
  <si>
    <t xml:space="preserve">READING THE SCENARIOS</t>
  </si>
  <si>
    <t xml:space="preserve">Base case: the management plan. Occupancy reaches 72% by Year 6, ARPOB grows 7.5% a year, operating margin</t>
  </si>
  <si>
    <t xml:space="preserve">settles at about 27%. Minimum DSCR 1.46x with no covenant breach. Project IRR 22.1%, equity IRR 26.9%.</t>
  </si>
  <si>
    <t xml:space="preserve">Optimistic: a faster ramp and better case mix. Nothing heroic — it simply assumes the hospital fills the way the</t>
  </si>
  <si>
    <t xml:space="preserve">better tier-2 assets actually have. Returns rise sharply because the fixed-cost base is already paid for.</t>
  </si>
  <si>
    <t xml:space="preserve">Pessimistic and Lender Stress: this is where the case study earns its keep. Both scenarios produce NO meaningful</t>
  </si>
  <si>
    <t xml:space="preserve">IRR — the equity is not returned. DSCR collapses below 1.0 and the cash deficit runs to many multiples of the</t>
  </si>
  <si>
    <t xml:space="preserve">promoter facility of Rs 17.7 Cr. The project does not gently underperform in a downside; it fails.</t>
  </si>
  <si>
    <t xml:space="preserve">The reason is operating leverage. Fixed costs are roughly 60% of the cost base and depreciation and interest are</t>
  </si>
  <si>
    <t xml:space="preserve">fixed absolutely. A 20% shortfall in revenue removes far more than 20% of EBITDA. See the Break-even sheet for</t>
  </si>
  <si>
    <t xml:space="preserve">the arithmetic and the Monte Carlo sheet for how likely each outcome is.</t>
  </si>
  <si>
    <t xml:space="preserve">This is not an argument against the project. It is an argument for the specific mitigations set out in the</t>
  </si>
  <si>
    <t xml:space="preserve">Viability Report: a longer moratorium, a committed standby facility sized off the Monte Carlo distribution rather</t>
  </si>
  <si>
    <t xml:space="preserve">than the base case, and pre-agreed operational trigger points.</t>
  </si>
  <si>
    <t xml:space="preserve">PAYER-MIX SCENARIOS</t>
  </si>
  <si>
    <t xml:space="preserve">Blended 40/35/25</t>
  </si>
  <si>
    <t xml:space="preserve">Govt-heavy 30/25/45</t>
  </si>
  <si>
    <t xml:space="preserve">Cash-premium 60/35/05</t>
  </si>
  <si>
    <t xml:space="preserve">Net working capital — Year 5 (Rs Lakh)</t>
  </si>
  <si>
    <t xml:space="preserve">Minimum DSCR</t>
  </si>
  <si>
    <t xml:space="preserve">A government-heavy mix costs roughly 3 percentage points of equity IRR and pushes minimum DSCR close to covenant —</t>
  </si>
  <si>
    <t xml:space="preserve">PMJAY volume is not free: it is paid for in realisation and in 110-day receivables.</t>
  </si>
  <si>
    <t xml:space="preserve">TWO-WAY SENSITIVITY ANALYSIS</t>
  </si>
  <si>
    <t xml:space="preserve">Each cell is a complete re-run of the 10-year model at that combination. Conditional formatting: green = better.</t>
  </si>
  <si>
    <t xml:space="preserve">1.  EQUITY IRR  —  peak occupancy vs Year-1 ARPOB</t>
  </si>
  <si>
    <t xml:space="preserve">The two drivers that matter most. Everything else is second order.</t>
  </si>
  <si>
    <t xml:space="preserve">Peak occupancy  \  Year-1 gross ARPOB (Rs)</t>
  </si>
  <si>
    <t xml:space="preserve">2.  MINIMUM DSCR  —  peak occupancy vs Year-1 ARPOB</t>
  </si>
  <si>
    <t xml:space="preserve">Red figures are below the 1.25x covenant. This is the grid a credit committee will look at first.</t>
  </si>
  <si>
    <t xml:space="preserve">3.  EQUITY IRR  —  peak occupancy vs interest rate</t>
  </si>
  <si>
    <t xml:space="preserve">Note how flat the columns are: 300bps of interest costs less IRR than 4pp of occupancy.</t>
  </si>
  <si>
    <t xml:space="preserve">Peak occupancy  \  Interest rate</t>
  </si>
  <si>
    <t xml:space="preserve">4.  MINIMUM DSCR  —  peak occupancy vs interest rate</t>
  </si>
  <si>
    <t xml:space="preserve">5.  EQUITY IRR  —  consumables ratio vs capex overrun</t>
  </si>
  <si>
    <t xml:space="preserve">Cost discipline in procurement matters more than capex discipline, because it recurs every year.</t>
  </si>
  <si>
    <t xml:space="preserve">Consumables % of revenue  \  Capex overrun</t>
  </si>
  <si>
    <t xml:space="preserve">6.  MINIMUM DSCR  —  consumables ratio vs capex overrun</t>
  </si>
  <si>
    <t xml:space="preserve">7.  EQUITY IRR  —  exit multiple vs WACC</t>
  </si>
  <si>
    <t xml:space="preserve">WACC does not affect equity IRR (IRR is WACC-independent) — the rows move, the columns do not. A useful sanity check that the model is wired correctly.</t>
  </si>
  <si>
    <t xml:space="preserve">Exit EV/EBITDA  \  WACC</t>
  </si>
  <si>
    <t xml:space="preserve">8.  PROJECT NPV (Rs Lakh)  —  exit multiple vs WACC</t>
  </si>
  <si>
    <t xml:space="preserve">Here WACC bites hard. NPV is highly sensitive to the discount rate; IRR is not.</t>
  </si>
  <si>
    <t xml:space="preserve">9.  EBITDA MARGIN YEAR 5  —  peak occupancy vs consumables ratio</t>
  </si>
  <si>
    <t xml:space="preserve">Benchmark: ICRA puts the sector operating margin at 22-24%.</t>
  </si>
  <si>
    <t xml:space="preserve">Peak occupancy  \  Consumables % of revenue</t>
  </si>
  <si>
    <t xml:space="preserve">Methodology</t>
  </si>
  <si>
    <t xml:space="preserve">Each cell is produced by re-running the complete 10-year model with that pair of inputs and reading the</t>
  </si>
  <si>
    <t xml:space="preserve">output — not by interpolating from the base case. Values are pasted because Excel cannot recalculate a</t>
  </si>
  <si>
    <t xml:space="preserve">two-way data table without VBA; the underlying code is in fl_analytics.py (function all_grids).</t>
  </si>
  <si>
    <t xml:space="preserve">All other inputs are held at base-case values. Grids are therefore ceteris paribus and do not capture</t>
  </si>
  <si>
    <t xml:space="preserve">correlation between drivers — which is precisely what the Monte Carlo sheet adds.</t>
  </si>
  <si>
    <t xml:space="preserve">TORNADO / SWING ANALYSIS</t>
  </si>
  <si>
    <t xml:space="preserve">One driver moved at a time, everything else held at base. Ranked by the size of the swing it causes.</t>
  </si>
  <si>
    <t xml:space="preserve">Base-case equity IRR</t>
  </si>
  <si>
    <t xml:space="preserve">Base-case minimum DSCR</t>
  </si>
  <si>
    <t xml:space="preserve">A.  IMPACT ON EQUITY IRR</t>
  </si>
  <si>
    <t xml:space="preserve">Low input</t>
  </si>
  <si>
    <t xml:space="preserve">High input</t>
  </si>
  <si>
    <t xml:space="preserve">IRR at low</t>
  </si>
  <si>
    <t xml:space="preserve">IRR at high</t>
  </si>
  <si>
    <t xml:space="preserve">Downside vs base</t>
  </si>
  <si>
    <t xml:space="preserve">Upside vs base</t>
  </si>
  <si>
    <t xml:space="preserve">Total swing</t>
  </si>
  <si>
    <t xml:space="preserve">Occupancy ramp speed</t>
  </si>
  <si>
    <t xml:space="preserve">ARPOB Year 1 (INR/bed-day)</t>
  </si>
  <si>
    <t xml:space="preserve">Peak occupancy</t>
  </si>
  <si>
    <t xml:space="preserve">OPD footfall</t>
  </si>
  <si>
    <t xml:space="preserve">Consultant payout %</t>
  </si>
  <si>
    <t xml:space="preserve">Interest rate</t>
  </si>
  <si>
    <t xml:space="preserve">Construction delay (months)</t>
  </si>
  <si>
    <t xml:space="preserve">B.  IMPACT ON MINIMUM DSCR</t>
  </si>
  <si>
    <t xml:space="preserve">DSCR at low</t>
  </si>
  <si>
    <t xml:space="preserve">DSCR at high</t>
  </si>
  <si>
    <t xml:space="preserve">HOW TO USE THIS</t>
  </si>
  <si>
    <t xml:space="preserve">The ranking is the point. The top four drivers — ramp speed, ARPOB level, ARPOB escalation and peak</t>
  </si>
  <si>
    <t xml:space="preserve">occupancy — are all demand-side. They account for roughly four times the swing of the entire financing</t>
  </si>
  <si>
    <t xml:space="preserve">package. Interest rate, the thing promoters negotiate hardest over, ranks second last.</t>
  </si>
  <si>
    <t xml:space="preserve">Management implication: an extra 4pp of occupancy is worth more than 300bps off the interest rate. Spend the</t>
  </si>
  <si>
    <t xml:space="preserve">effort on clinician recruitment, referral networks and empanelment, not on shaving the loan pricing.</t>
  </si>
  <si>
    <t xml:space="preserve">Caveat: a tornado moves one variable at a time. In reality a slow ramp and weak pricing arrive together —</t>
  </si>
  <si>
    <t xml:space="preserve">which is why the Pessimistic scenario is far worse than any single bar here suggests, and why the Monte</t>
  </si>
  <si>
    <t xml:space="preserve">Carlo simulation is the more honest risk measure.</t>
  </si>
  <si>
    <t xml:space="preserve">MONTE CARLO SIMULATION — 10,000 TRIALS</t>
  </si>
  <si>
    <t xml:space="preserve">Every input drawn from a distribution simultaneously. This is the only sheet that answers 'how likely?'</t>
  </si>
  <si>
    <t xml:space="preserve">Trials</t>
  </si>
  <si>
    <t xml:space="preserve">Random seed (fixed for reproducibility)</t>
  </si>
  <si>
    <t xml:space="preserve">A.  INPUT DISTRIBUTIONS</t>
  </si>
  <si>
    <t xml:space="preserve">Distribution</t>
  </si>
  <si>
    <t xml:space="preserve">Minimum</t>
  </si>
  <si>
    <t xml:space="preserve">Mode / mean</t>
  </si>
  <si>
    <t xml:space="preserve">Maximum</t>
  </si>
  <si>
    <t xml:space="preserve">Std dev</t>
  </si>
  <si>
    <t xml:space="preserve">Triangular</t>
  </si>
  <si>
    <t xml:space="preserve">ARPOB Year 1</t>
  </si>
  <si>
    <t xml:space="preserve">Normal</t>
  </si>
  <si>
    <t xml:space="preserve">ARPOB escalation</t>
  </si>
  <si>
    <t xml:space="preserve">OPD footfall factor</t>
  </si>
  <si>
    <t xml:space="preserve">Consumables % of rev</t>
  </si>
  <si>
    <t xml:space="preserve">Salary escalation</t>
  </si>
  <si>
    <t xml:space="preserve">Exit EV/EBITDA</t>
  </si>
  <si>
    <t xml:space="preserve">Correlation overlay: peak occupancy and ARPOB are drawn with a +0.35 correlation. Better demand travels</t>
  </si>
  <si>
    <t xml:space="preserve">with a richer case mix in practice; treating them as independent would understate both tails.</t>
  </si>
  <si>
    <t xml:space="preserve">B.  OUTPUT DISTRIBUTIONS</t>
  </si>
  <si>
    <t xml:space="preserve">Output</t>
  </si>
  <si>
    <t xml:space="preserve">Mean</t>
  </si>
  <si>
    <t xml:space="preserve">P5</t>
  </si>
  <si>
    <t xml:space="preserve">P25</t>
  </si>
  <si>
    <t xml:space="preserve">P50 (median)</t>
  </si>
  <si>
    <t xml:space="preserve">P75</t>
  </si>
  <si>
    <t xml:space="preserve">P95</t>
  </si>
  <si>
    <t xml:space="preserve">Project NPV (Rs Lakh)</t>
  </si>
  <si>
    <t xml:space="preserve">C.  PROBABILITIES — THE NUMBERS THAT ACTUALLY MATTER</t>
  </si>
  <si>
    <t xml:space="preserve">Probability project NPV &gt; 0</t>
  </si>
  <si>
    <t xml:space="preserve">The project creates value in 9 cases out of 10</t>
  </si>
  <si>
    <t xml:space="preserve">Probability equity IRR &gt; 12% (cost of capital)</t>
  </si>
  <si>
    <t xml:space="preserve">Probability equity IRR &gt; 15%</t>
  </si>
  <si>
    <t xml:space="preserve">Probability equity IRR &gt; 18% (promoter hurdle)</t>
  </si>
  <si>
    <t xml:space="preserve">Probability equity IRR &gt; 25%</t>
  </si>
  <si>
    <t xml:space="preserve">Probability minimum DSCR &gt;= 1.35x (comfort)</t>
  </si>
  <si>
    <t xml:space="preserve">Probability minimum DSCR &gt;= 1.25x (covenant)</t>
  </si>
  <si>
    <t xml:space="preserve">Only a coin flip. This is the single most important output in the workbook.</t>
  </si>
  <si>
    <t xml:space="preserve">Probability minimum DSCR &gt;= 1.10x</t>
  </si>
  <si>
    <t xml:space="preserve">Probability minimum DSCR &lt; 1.00x — technical default</t>
  </si>
  <si>
    <t xml:space="preserve">A one-in-four chance of failing to cover debt service in at least one year</t>
  </si>
  <si>
    <t xml:space="preserve">Probability equity is not fully returned</t>
  </si>
  <si>
    <t xml:space="preserve">Probability EBITDA margin Year 5 below 20%</t>
  </si>
  <si>
    <t xml:space="preserve">D.  DISTRIBUTION OF EQUITY IRR</t>
  </si>
  <si>
    <t xml:space="preserve">IRR bucket</t>
  </si>
  <si>
    <t xml:space="preserve">% of trials</t>
  </si>
  <si>
    <t xml:space="preserve">Cumulative %</t>
  </si>
  <si>
    <t xml:space="preserve">-10.0% to -7.5%</t>
  </si>
  <si>
    <t xml:space="preserve">-7.5% to -5.0%</t>
  </si>
  <si>
    <t xml:space="preserve">-5.0% to -2.5%</t>
  </si>
  <si>
    <t xml:space="preserve">-2.5% to -0.0%</t>
  </si>
  <si>
    <t xml:space="preserve">-0.0% to 2.5%</t>
  </si>
  <si>
    <t xml:space="preserve">2.5% to 5.0%</t>
  </si>
  <si>
    <t xml:space="preserve">5.0% to 7.5%</t>
  </si>
  <si>
    <t xml:space="preserve">7.5% to 10.0%</t>
  </si>
  <si>
    <t xml:space="preserve">10.0% to 12.5%</t>
  </si>
  <si>
    <t xml:space="preserve">12.5% to 15.0%</t>
  </si>
  <si>
    <t xml:space="preserve">15.0% to 17.5%</t>
  </si>
  <si>
    <t xml:space="preserve">17.5% to 20.0%</t>
  </si>
  <si>
    <t xml:space="preserve">20.0% to 22.5%</t>
  </si>
  <si>
    <t xml:space="preserve">22.5% to 25.0%</t>
  </si>
  <si>
    <t xml:space="preserve">25.0% to 27.5%</t>
  </si>
  <si>
    <t xml:space="preserve">27.5% to 30.0%</t>
  </si>
  <si>
    <t xml:space="preserve">30.0% to 32.5%</t>
  </si>
  <si>
    <t xml:space="preserve">32.5% to 35.0%</t>
  </si>
  <si>
    <t xml:space="preserve">35.0% to 37.5%</t>
  </si>
  <si>
    <t xml:space="preserve">37.5% to 40.0%</t>
  </si>
  <si>
    <t xml:space="preserve">40.0% to 42.5%</t>
  </si>
  <si>
    <t xml:space="preserve">42.5% to 45.0%</t>
  </si>
  <si>
    <t xml:space="preserve">45.0% to 47.5%</t>
  </si>
  <si>
    <t xml:space="preserve">E.  DISTRIBUTION OF MINIMUM DSCR</t>
  </si>
  <si>
    <t xml:space="preserve">DSCR bucket</t>
  </si>
  <si>
    <t xml:space="preserve">0.00 to 0.12</t>
  </si>
  <si>
    <t xml:space="preserve">0.12 to 0.25</t>
  </si>
  <si>
    <t xml:space="preserve">0.25 to 0.38</t>
  </si>
  <si>
    <t xml:space="preserve">0.38 to 0.50</t>
  </si>
  <si>
    <t xml:space="preserve">0.50 to 0.62</t>
  </si>
  <si>
    <t xml:space="preserve">0.62 to 0.75</t>
  </si>
  <si>
    <t xml:space="preserve">0.75 to 0.88</t>
  </si>
  <si>
    <t xml:space="preserve">0.88 to 1.00</t>
  </si>
  <si>
    <t xml:space="preserve">1.00 to 1.12</t>
  </si>
  <si>
    <t xml:space="preserve">1.12 to 1.25</t>
  </si>
  <si>
    <t xml:space="preserve">1.25 to 1.38</t>
  </si>
  <si>
    <t xml:space="preserve">1.38 to 1.50</t>
  </si>
  <si>
    <t xml:space="preserve">1.50 to 1.62</t>
  </si>
  <si>
    <t xml:space="preserve">1.62 to 1.75</t>
  </si>
  <si>
    <t xml:space="preserve">1.75 to 1.88</t>
  </si>
  <si>
    <t xml:space="preserve">1.88 to 2.00</t>
  </si>
  <si>
    <t xml:space="preserve">2.00 to 2.12</t>
  </si>
  <si>
    <t xml:space="preserve">2.12 to 2.25</t>
  </si>
  <si>
    <t xml:space="preserve">2.25 to 2.38</t>
  </si>
  <si>
    <t xml:space="preserve">2.38 to 2.50</t>
  </si>
  <si>
    <t xml:space="preserve">2.50 to 2.62</t>
  </si>
  <si>
    <t xml:space="preserve">2.62 to 2.75</t>
  </si>
  <si>
    <t xml:space="preserve">2.75 to 2.88</t>
  </si>
  <si>
    <t xml:space="preserve">F.  SIZING THE STANDBY FACILITY OFF THE DISTRIBUTION</t>
  </si>
  <si>
    <t xml:space="preserve">The base case needs Rs 17.7 Cr of promoter support. But the base case happens once. Sizing the facility</t>
  </si>
  <si>
    <t xml:space="preserve">off the distribution of cash deficits rather than off a single scenario is the difference between a</t>
  </si>
  <si>
    <t xml:space="preserve">structure that survives a bad two years and one that does not:</t>
  </si>
  <si>
    <t xml:space="preserve">Confidence level</t>
  </si>
  <si>
    <t xml:space="preserve">Standby facility required (Rs Lakh)</t>
  </si>
  <si>
    <t xml:space="preserve">Covers 50% of simulated outcomes</t>
  </si>
  <si>
    <t xml:space="preserve">Covers 60% of simulated outcomes</t>
  </si>
  <si>
    <t xml:space="preserve">Covers 70% of simulated outcomes</t>
  </si>
  <si>
    <t xml:space="preserve">Covers 75% of simulated outcomes</t>
  </si>
  <si>
    <t xml:space="preserve">Covers 80% of simulated outcomes</t>
  </si>
  <si>
    <t xml:space="preserve">Covers 85% of simulated outcomes</t>
  </si>
  <si>
    <t xml:space="preserve">&lt;-- Recommended: a Rs 25 Cr committed standby. Beyond this the cost of carry outweighs the benefit.</t>
  </si>
  <si>
    <t xml:space="preserve">Covers 90% of simulated outcomes</t>
  </si>
  <si>
    <t xml:space="preserve">Covers 95% of simulated outcomes</t>
  </si>
  <si>
    <t xml:space="preserve">Interpretation and honest caveats:</t>
  </si>
  <si>
    <t xml:space="preserve">The simulation says the project is fundamentally sound — a 91% chance of positive NPV and an 83% chance of clearing a</t>
  </si>
  <si>
    <t xml:space="preserve">15% equity return. What it also says is that the FINANCING is fragile: the covenant holds in only about half</t>
  </si>
  <si>
    <t xml:space="preserve">of outcomes, and there is roughly a one-in-four chance of a year in which cash flow does not cover debt</t>
  </si>
  <si>
    <t xml:space="preserve">service. Those two statements are not in tension. A good asset can still be badly financed.</t>
  </si>
  <si>
    <t xml:space="preserve">Caveats worth stating plainly. The distributions are judgemental, not fitted to a dataset of comparable</t>
  </si>
  <si>
    <t xml:space="preserve">greenfield hospitals — no such public dataset exists at this granularity. Only one correlation is modelled</t>
  </si>
  <si>
    <t xml:space="preserve">(occupancy with ARPOB); in reality cost inflation, wage inflation and interest rates also move together,</t>
  </si>
  <si>
    <t xml:space="preserve">which would fatten the left tail further. Triangular distributions have no tails beyond their bounds, so</t>
  </si>
  <si>
    <t xml:space="preserve">genuine catastrophe — a clinical scandal, a licence suspension, the departure of the three anchor</t>
  </si>
  <si>
    <t xml:space="preserve">consultants — is not in these numbers at all. Treat the output as a well-structured argument about</t>
  </si>
  <si>
    <t xml:space="preserve">relative risk, not as a forecast.</t>
  </si>
  <si>
    <t xml:space="preserve">FUNDING STRUCTURE COMPARISON</t>
  </si>
  <si>
    <t xml:space="preserve">The central structuring finding of this case study. Rs Lakh.</t>
  </si>
  <si>
    <t xml:space="preserve">1a. 70:30
principal from Y2</t>
  </si>
  <si>
    <t xml:space="preserve">1b. 70:30
principal from Y4
RECOMMENDED</t>
  </si>
  <si>
    <t xml:space="preserve">1c. 65:35
principal from Y4</t>
  </si>
  <si>
    <t xml:space="preserve">2. 60:40
with PE equity</t>
  </si>
  <si>
    <t xml:space="preserve">Equity in cost of project (Rs Lakh)</t>
  </si>
  <si>
    <t xml:space="preserve">Promoter support facility (Rs Lakh)</t>
  </si>
  <si>
    <t xml:space="preserve">Total funding requirement (Rs Lakh)</t>
  </si>
  <si>
    <t xml:space="preserve">Debt as % of cost of project</t>
  </si>
  <si>
    <t xml:space="preserve">Debt as % of total funding</t>
  </si>
  <si>
    <t xml:space="preserve">Average DSCR</t>
  </si>
  <si>
    <t xml:space="preserve">RISK-ADJUSTED COMPARISON — 3,000 MONTE CARLO TRIALS PER STRUCTURE</t>
  </si>
  <si>
    <t xml:space="preserve">70:30</t>
  </si>
  <si>
    <t xml:space="preserve">65:35</t>
  </si>
  <si>
    <t xml:space="preserve">60:40</t>
  </si>
  <si>
    <t xml:space="preserve">55:45</t>
  </si>
  <si>
    <t xml:space="preserve">Promoter support facility required (Rs Lakh)</t>
  </si>
  <si>
    <t xml:space="preserve">Median equity IRR</t>
  </si>
  <si>
    <t xml:space="preserve">Median minimum DSCR</t>
  </si>
  <si>
    <t xml:space="preserve">Probability DSCR &gt;= 1.25x (covenant holds)</t>
  </si>
  <si>
    <t xml:space="preserve">Probability DSCR &lt; 1.00x (technical default)</t>
  </si>
  <si>
    <t xml:space="preserve">Probability NPV &gt; 0</t>
  </si>
  <si>
    <t xml:space="preserve">P5 minimum cash balance (Rs Lakh)</t>
  </si>
  <si>
    <t xml:space="preserve">THE FINDING</t>
  </si>
  <si>
    <t xml:space="preserve">1.  It was never the leverage. It was the repayment timing.</t>
  </si>
  <si>
    <t xml:space="preserve">     The original 70:30 structure with principal starting in operating Year 2 breaches covenant in two years and</t>
  </si>
  <si>
    <t xml:space="preserve">     needs Rs 25.5 Cr of promoter support. The same 70:30 leverage, with principal deferred to Year 4, breaches</t>
  </si>
  <si>
    <t xml:space="preserve">     in none and needs Rs 17.7 Cr. Nothing about the leverage changed — only when the first instalment falls due.</t>
  </si>
  <si>
    <t xml:space="preserve">     A greenfield hospital reaches cash break-even in Year 3. Asking it to amortise debt in Year 2 is asking it to</t>
  </si>
  <si>
    <t xml:space="preserve">     pay out of capital.</t>
  </si>
  <si>
    <t xml:space="preserve">2.  De-levering is almost free in return terms, and buys a great deal of safety.</t>
  </si>
  <si>
    <t xml:space="preserve">     Moving from 70:30 to 55:45 costs about 0.3 percentage points of median equity IRR — statistical noise. It cuts</t>
  </si>
  <si>
    <t xml:space="preserve">     the probability of technical default from 28% to 12% and raises the probability of holding covenant from 50% to 75%.</t>
  </si>
  <si>
    <t xml:space="preserve">     The reason the IRR barely moves is that this project's asset return (22.1%) is not far above its post-tax cost</t>
  </si>
  <si>
    <t xml:space="preserve">     of debt (8.0%) once the ramp years are weighted in. Leverage is doing less work than it appears to.</t>
  </si>
  <si>
    <t xml:space="preserve">3.  Recommendation.</t>
  </si>
  <si>
    <t xml:space="preserve">     Structure 1b or 1c — 65:35 to 70:30 gearing, principal deferred to Year 4, 28 quarterly instalments, plus a</t>
  </si>
  <si>
    <t xml:space="preserve">     committed standby facility of Rs 25 Cr sized off the Monte Carlo distribution rather than the base case.</t>
  </si>
  <si>
    <t xml:space="preserve">     If institutional equity is available on reasonable terms, Structure 2 is materially safer for a marginal</t>
  </si>
  <si>
    <t xml:space="preserve">     return give-up — see the PE Case sheet for what the fund would need in exchange.</t>
  </si>
  <si>
    <t xml:space="preserve">FUNDING OPTION 2 — INSTITUTIONAL EQUITY</t>
  </si>
  <si>
    <t xml:space="preserve">60:40 debt:equity with a growth-equity fund alongside the promoter. Rs Lakh.</t>
  </si>
  <si>
    <t xml:space="preserve">A.  SOURCES OF FUNDS</t>
  </si>
  <si>
    <t xml:space="preserve">Amount (Rs Lakh)</t>
  </si>
  <si>
    <t xml:space="preserve">% of equity</t>
  </si>
  <si>
    <t xml:space="preserve">% of total funding</t>
  </si>
  <si>
    <t xml:space="preserve">Promoter — land contributed in kind (at cost)</t>
  </si>
  <si>
    <t xml:space="preserve">Promoter — cash equity</t>
  </si>
  <si>
    <t xml:space="preserve">Institutional equity (PE / growth fund)</t>
  </si>
  <si>
    <t xml:space="preserve">Total equity</t>
  </si>
  <si>
    <t xml:space="preserve">Term debt (60% of cost of project)</t>
  </si>
  <si>
    <t xml:space="preserve">TOTAL FUNDING</t>
  </si>
  <si>
    <t xml:space="preserve">B.  CAP TABLE AT FINANCIAL CLOSURE</t>
  </si>
  <si>
    <t xml:space="preserve">Shares are issued at cost: there is no step-up before the asset exists. Pre-money valuation therefore</t>
  </si>
  <si>
    <t xml:space="preserve">equals the promoter's contributed capital, and ownership is pro-rata to capital in.</t>
  </si>
  <si>
    <t xml:space="preserve">Shareholder</t>
  </si>
  <si>
    <t xml:space="preserve">Capital in (Rs Lakh)</t>
  </si>
  <si>
    <t xml:space="preserve">Ownership</t>
  </si>
  <si>
    <t xml:space="preserve">Board seats</t>
  </si>
  <si>
    <t xml:space="preserve">Key rights</t>
  </si>
  <si>
    <t xml:space="preserve">Promoter group</t>
  </si>
  <si>
    <t xml:space="preserve">3 of 5</t>
  </si>
  <si>
    <t xml:space="preserve">Chair; day-to-day management; ROFR on transfers</t>
  </si>
  <si>
    <t xml:space="preserve">Institutional investor</t>
  </si>
  <si>
    <t xml:space="preserve">2 of 5</t>
  </si>
  <si>
    <t xml:space="preserve">Affirmative-vote list; information rights; anti-dilution; tag-along; drag after Year 6</t>
  </si>
  <si>
    <t xml:space="preserve">Pre-money valuation</t>
  </si>
  <si>
    <t xml:space="preserve">Post-money valuation</t>
  </si>
  <si>
    <t xml:space="preserve">C.  EXIT WATERFALL</t>
  </si>
  <si>
    <t xml:space="preserve">Exit scenario</t>
  </si>
  <si>
    <t xml:space="preserve">Exit EBITDA</t>
  </si>
  <si>
    <t xml:space="preserve">EV/EBITDA</t>
  </si>
  <si>
    <t xml:space="preserve">Enterprise value</t>
  </si>
  <si>
    <t xml:space="preserve">Less net debt</t>
  </si>
  <si>
    <t xml:space="preserve">Equity value</t>
  </si>
  <si>
    <t xml:space="preserve">PE proceeds</t>
  </si>
  <si>
    <t xml:space="preserve">MOIC</t>
  </si>
  <si>
    <t xml:space="preserve">PE IRR</t>
  </si>
  <si>
    <t xml:space="preserve">Operating Year 5 at 11x  (7-year hold)</t>
  </si>
  <si>
    <t xml:space="preserve">Operating Year 5 at 13x  (7-year hold)</t>
  </si>
  <si>
    <t xml:space="preserve">Operating Year 5 at 15x  (7-year hold)</t>
  </si>
  <si>
    <t xml:space="preserve">Operating Year 7 at 11x  (9-year hold)</t>
  </si>
  <si>
    <t xml:space="preserve">Operating Year 7 at 13x  (9-year hold)</t>
  </si>
  <si>
    <t xml:space="preserve">Operating Year 7 at 15x  (9-year hold)</t>
  </si>
  <si>
    <t xml:space="preserve">D.  WHAT THIS MEANS FOR EACH SIDE</t>
  </si>
  <si>
    <t xml:space="preserve">For the fund: a 7-to-9-year hold delivering 21-28% gross IRR and 3.9x-8.0x MOIC. That clears most India growth-equity</t>
  </si>
  <si>
    <t xml:space="preserve">hurdles, but only just at the low end, and the hold period is long for a fund with a 10-year life. The fund will</t>
  </si>
  <si>
    <t xml:space="preserve">push for a Year 5-6 exit, a drag-along, and a ratchet if EBITDA milestones are missed.</t>
  </si>
  <si>
    <t xml:space="preserve">For the promoter: bringing in institutional equity dilutes them to about 56% and hands over an affirmative-</t>
  </si>
  <si>
    <t xml:space="preserve">vote list. In exchange, term debt falls from Rs 77.5 Cr to Rs 66.5 Cr, the probability of technical default drops from</t>
  </si>
  <si>
    <t xml:space="preserve">28% to 16%, and the personal-guarantee exposure shrinks accordingly. Whether that trade is worth it is a judgement</t>
  </si>
  <si>
    <t xml:space="preserve">about control, not a calculation — but the risk reduction is real and quantified.</t>
  </si>
  <si>
    <t xml:space="preserve">Sequencing note: the promoter does not have to choose today. A defensible path is to close the term loan at 70:30 now,</t>
  </si>
  <si>
    <t xml:space="preserve">then raise institutional equity in Year 3-4 once occupancy is proven, at a genuine step-up rather than at cost. That</t>
  </si>
  <si>
    <t xml:space="preserve">trades early risk-sharing for later, cheaper dilution. The Monte Carlo distribution is the right lens: if the promoter</t>
  </si>
  <si>
    <t xml:space="preserve">cannot personally fund a Rs 25 Cr standby facility, the choice is already made for them.</t>
  </si>
  <si>
    <t xml:space="preserve">CHARTS</t>
  </si>
  <si>
    <t xml:space="preserve">All charts are linked to the live model and update when the Control Panel changes.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</si>
</sst>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;\(#,##0\);\-"/>
    <numFmt numFmtId="166" formatCode="@"/>
    <numFmt numFmtId="167" formatCode="0.0%;\(0.0%\);\-"/>
    <numFmt numFmtId="168" formatCode="0.00\x;\(0.00&quot;x)&quot;;\-"/>
    <numFmt numFmtId="169" formatCode="0.00%;\(0.00%\);\-"/>
    <numFmt numFmtId="170" formatCode="0.0\x;\(0.0&quot;x)&quot;;\-"/>
    <numFmt numFmtId="171" formatCode="#,##0.0;\(#,##0.0\);\-"/>
    <numFmt numFmtId="172" formatCode="0.0000"/>
    <numFmt numFmtId="173" formatCode="0.00"/>
    <numFmt numFmtId="174" formatCode="0.00000"/>
    <numFmt numFmtId="175" formatCode="#,##0.00;\(#,##0.00\);\-"/>
    <numFmt numFmtId="176" formatCode="0%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sz val="12"/>
      <color rgb="FFBDD7EE"/>
      <name val="Arial"/>
      <family val="0"/>
      <charset val="1"/>
    </font>
    <font>
      <b val="true"/>
      <sz val="15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2E75B6"/>
      <name val="Arial"/>
      <family val="0"/>
      <charset val="1"/>
    </font>
    <font>
      <b val="true"/>
      <sz val="10"/>
      <color rgb="FFFF0000"/>
      <name val="Arial"/>
      <family val="0"/>
      <charset val="1"/>
    </font>
    <font>
      <i val="true"/>
      <sz val="8"/>
      <color rgb="FF7F7F7F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2"/>
    </font>
    <font>
      <b val="true"/>
      <sz val="10"/>
      <color rgb="FFFFFF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2F5597"/>
      </patternFill>
    </fill>
    <fill>
      <patternFill patternType="solid">
        <fgColor rgb="FFD9E2F3"/>
        <bgColor rgb="FFD9D9D9"/>
      </patternFill>
    </fill>
    <fill>
      <patternFill patternType="solid">
        <fgColor rgb="FFFFF2CC"/>
        <bgColor rgb="FFFCE4E4"/>
      </patternFill>
    </fill>
    <fill>
      <patternFill patternType="solid">
        <fgColor rgb="FFFFFF00"/>
        <bgColor rgb="FFFFFF00"/>
      </patternFill>
    </fill>
    <fill>
      <patternFill patternType="solid">
        <fgColor rgb="FF2F5597"/>
        <bgColor rgb="FF2E75B6"/>
      </patternFill>
    </fill>
    <fill>
      <patternFill patternType="solid">
        <fgColor rgb="FFE2EFDA"/>
        <bgColor rgb="FFD9E2F3"/>
      </patternFill>
    </fill>
    <fill>
      <patternFill patternType="solid">
        <fgColor rgb="FFFCE4E4"/>
        <bgColor rgb="FFFFF2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thin">
        <color rgb="FF1F3864"/>
      </top>
      <bottom/>
      <diagonal/>
    </border>
    <border diagonalUp="false" diagonalDown="false">
      <left/>
      <right/>
      <top style="thin">
        <color rgb="FF1F3864"/>
      </top>
      <bottom style="double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8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8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9C0006"/>
        <sz val="10"/>
      </font>
    </dxf>
    <dxf>
      <font>
        <name val="Arial"/>
        <charset val="1"/>
        <family val="0"/>
        <b val="1"/>
        <color rgb="FF9C0006"/>
        <sz val="10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F7F7F"/>
      <rgbColor rgb="FF800080"/>
      <rgbColor rgb="FF4F81BD"/>
      <rgbColor rgb="FFBFBFBF"/>
      <rgbColor rgb="FF808080"/>
      <rgbColor rgb="FF9BBB59"/>
      <rgbColor rgb="FFBE4B48"/>
      <rgbColor rgb="FFFFF2CC"/>
      <rgbColor rgb="FFD9E2F3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C00000"/>
      <rgbColor rgb="FF70AD47"/>
      <rgbColor rgb="FF0000FF"/>
      <rgbColor rgb="FF00CCFF"/>
      <rgbColor rgb="FFF9F9F9"/>
      <rgbColor rgb="FFE2EFDA"/>
      <rgbColor rgb="FFFCE4E4"/>
      <rgbColor rgb="FFD9D9D9"/>
      <rgbColor rgb="FFFF99CC"/>
      <rgbColor rgb="FFCC99FF"/>
      <rgbColor rgb="FFFFC7CE"/>
      <rgbColor rgb="FF2E75B6"/>
      <rgbColor rgb="FF4BACC6"/>
      <rgbColor rgb="FF98B855"/>
      <rgbColor rgb="FFFFCC00"/>
      <rgbColor rgb="FFF79646"/>
      <rgbColor rgb="FFED7D31"/>
      <rgbColor rgb="FF8064A2"/>
      <rgbColor rgb="FF878787"/>
      <rgbColor rgb="FF1F3864"/>
      <rgbColor rgb="FF4A7EBB"/>
      <rgbColor rgb="FF003300"/>
      <rgbColor rgb="FF333300"/>
      <rgbColor rgb="FFC0504D"/>
      <rgbColor rgb="FF7030A0"/>
      <rgbColor rgb="FF2F5597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_rels/chart7.xml.rels><?xml version="1.0" encoding="UTF-8"?>
<Relationships xmlns="http://schemas.openxmlformats.org/package/2006/relationships"><Relationship Id="rId1" Type="http://schemas.microsoft.com/office/2011/relationships/chartStyle" Target="style7.xml"/><Relationship Id="rId2" Type="http://schemas.microsoft.com/office/2011/relationships/chartColorStyle" Target="colors7.xml"/>
</Relationships>
</file>

<file path=xl/charts/_rels/chart8.xml.rels><?xml version="1.0" encoding="UTF-8"?>
<Relationships xmlns="http://schemas.openxmlformats.org/package/2006/relationships"><Relationship Id="rId1" Type="http://schemas.microsoft.com/office/2011/relationships/chartStyle" Target="style8.xml"/><Relationship Id="rId2" Type="http://schemas.microsoft.com/office/2011/relationships/chartColorStyle" Target="colors8.xml"/>
</Relationships>
</file>

<file path=xl/charts/_rels/chart9.xml.rels><?xml version="1.0" encoding="UTF-8"?>
<Relationships xmlns="http://schemas.openxmlformats.org/package/2006/relationships"><Relationship Id="rId1" Type="http://schemas.microsoft.com/office/2011/relationships/chartStyle" Target="style9.xml"/><Relationship Id="rId2" Type="http://schemas.microsoft.com/office/2011/relationships/chartColorStyle" Target="colors9.xml"/>
</Relationships>
</file>

<file path=xl/charts/_rels/chart10.xml.rels><?xml version="1.0" encoding="UTF-8"?>
<Relationships xmlns="http://schemas.openxmlformats.org/package/2006/relationships"><Relationship Id="rId1" Type="http://schemas.microsoft.com/office/2011/relationships/chartStyle" Target="style10.xml"/><Relationship Id="rId2" Type="http://schemas.microsoft.com/office/2011/relationships/chartColorStyle" Target="colors10.xml"/>
</Relationships>
</file>

<file path=xl/charts/_rels/chart11.xml.rels><?xml version="1.0" encoding="UTF-8"?>
<Relationships xmlns="http://schemas.openxmlformats.org/package/2006/relationships"><Relationship Id="rId1" Type="http://schemas.microsoft.com/office/2011/relationships/chartStyle" Target="style11.xml"/><Relationship Id="rId2" Type="http://schemas.microsoft.com/office/2011/relationships/chartColorStyle" Target="colors11.xml"/>
</Relationships>
</file>

<file path=xl/charts/_rels/chart12.xml.rels><?xml version="1.0" encoding="UTF-8"?>
<Relationships xmlns="http://schemas.openxmlformats.org/package/2006/relationships"><Relationship Id="rId1" Type="http://schemas.microsoft.com/office/2011/relationships/chartStyle" Target="style12.xml"/><Relationship Id="rId2" Type="http://schemas.microsoft.com/office/2011/relationships/chartColorStyle" Target="colors12.xml"/>
</Relationships>
</file>

<file path=xl/charts/_rels/chart13.xml.rels><?xml version="1.0" encoding="UTF-8"?>
<Relationships xmlns="http://schemas.openxmlformats.org/package/2006/relationships"><Relationship Id="rId1" Type="http://schemas.microsoft.com/office/2011/relationships/chartStyle" Target="style13.xml"/><Relationship Id="rId2" Type="http://schemas.microsoft.com/office/2011/relationships/chartColorStyle" Target="colors13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Equity IRR — swing by driver (widest at top)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Tornado!$A$9:$A$20</c:f>
              <c:strCache>
                <c:ptCount val="12"/>
                <c:pt idx="0">
                  <c:v>Occupancy ramp speed</c:v>
                </c:pt>
                <c:pt idx="1">
                  <c:v>ARPOB Year 1 (INR/bed-day)</c:v>
                </c:pt>
                <c:pt idx="2">
                  <c:v>ARPOB escalation p.a.</c:v>
                </c:pt>
                <c:pt idx="3">
                  <c:v>Peak occupancy</c:v>
                </c:pt>
                <c:pt idx="4">
                  <c:v>Exit EV/EBITDA multiple</c:v>
                </c:pt>
                <c:pt idx="5">
                  <c:v>Salary escalation p.a.</c:v>
                </c:pt>
                <c:pt idx="6">
                  <c:v>Consumables % of revenue</c:v>
                </c:pt>
                <c:pt idx="7">
                  <c:v>OPD footfall</c:v>
                </c:pt>
                <c:pt idx="8">
                  <c:v>Consultant payout %</c:v>
                </c:pt>
                <c:pt idx="9">
                  <c:v>Capex overrun</c:v>
                </c:pt>
                <c:pt idx="10">
                  <c:v>Interest rate</c:v>
                </c:pt>
                <c:pt idx="11">
                  <c:v>Construction delay (months)</c:v>
                </c:pt>
              </c:strCache>
            </c:strRef>
          </c:cat>
          <c:val>
            <c:numRef>
              <c:f>Tornado!$H$9:$H$20</c:f>
              <c:numCache>
                <c:formatCode>0.00%;\(0.00%\);\-</c:formatCode>
                <c:ptCount val="12"/>
                <c:pt idx="0">
                  <c:v>0.142826206079917</c:v>
                </c:pt>
                <c:pt idx="1">
                  <c:v>0.135424425119345</c:v>
                </c:pt>
                <c:pt idx="2">
                  <c:v>0.134252308828081</c:v>
                </c:pt>
                <c:pt idx="3">
                  <c:v>0.113044125083525</c:v>
                </c:pt>
                <c:pt idx="4">
                  <c:v>0.0677730613123003</c:v>
                </c:pt>
                <c:pt idx="5">
                  <c:v>0.0587627441330824</c:v>
                </c:pt>
                <c:pt idx="6">
                  <c:v>0.0562337203512471</c:v>
                </c:pt>
                <c:pt idx="7">
                  <c:v>0.0550390570841047</c:v>
                </c:pt>
                <c:pt idx="8">
                  <c:v>0.0355132991904155</c:v>
                </c:pt>
                <c:pt idx="9">
                  <c:v>0.0272363977708665</c:v>
                </c:pt>
                <c:pt idx="10">
                  <c:v>0.0177761404332613</c:v>
                </c:pt>
                <c:pt idx="11">
                  <c:v>0.00444356703287663</c:v>
                </c:pt>
              </c:numCache>
            </c:numRef>
          </c:val>
        </c:ser>
        <c:gapWidth val="150"/>
        <c:overlap val="0"/>
        <c:axId val="59441544"/>
        <c:axId val="90501251"/>
      </c:barChart>
      <c:catAx>
        <c:axId val="59441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0501251"/>
        <c:crosses val="autoZero"/>
        <c:auto val="1"/>
        <c:lblAlgn val="ctr"/>
        <c:lblOffset val="100"/>
        <c:noMultiLvlLbl val="0"/>
      </c:catAx>
      <c:valAx>
        <c:axId val="905012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Equity IRR swing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%;\(0.00%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944154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Equity IRR — distribution across 10,000 trials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'Monte Carlo'!$A$50:$A$72</c:f>
              <c:strCache>
                <c:ptCount val="23"/>
                <c:pt idx="0">
                  <c:v>-10.0% to -7.5%</c:v>
                </c:pt>
                <c:pt idx="1">
                  <c:v>-7.5% to -5.0%</c:v>
                </c:pt>
                <c:pt idx="2">
                  <c:v>-5.0% to -2.5%</c:v>
                </c:pt>
                <c:pt idx="3">
                  <c:v>-2.5% to -0.0%</c:v>
                </c:pt>
                <c:pt idx="4">
                  <c:v>-0.0% to 2.5%</c:v>
                </c:pt>
                <c:pt idx="5">
                  <c:v>2.5% to 5.0%</c:v>
                </c:pt>
                <c:pt idx="6">
                  <c:v>5.0% to 7.5%</c:v>
                </c:pt>
                <c:pt idx="7">
                  <c:v>7.5% to 10.0%</c:v>
                </c:pt>
                <c:pt idx="8">
                  <c:v>10.0% to 12.5%</c:v>
                </c:pt>
                <c:pt idx="9">
                  <c:v>12.5% to 15.0%</c:v>
                </c:pt>
                <c:pt idx="10">
                  <c:v>15.0% to 17.5%</c:v>
                </c:pt>
                <c:pt idx="11">
                  <c:v>17.5% to 20.0%</c:v>
                </c:pt>
                <c:pt idx="12">
                  <c:v>20.0% to 22.5%</c:v>
                </c:pt>
                <c:pt idx="13">
                  <c:v>22.5% to 25.0%</c:v>
                </c:pt>
                <c:pt idx="14">
                  <c:v>25.0% to 27.5%</c:v>
                </c:pt>
                <c:pt idx="15">
                  <c:v>27.5% to 30.0%</c:v>
                </c:pt>
                <c:pt idx="16">
                  <c:v>30.0% to 32.5%</c:v>
                </c:pt>
                <c:pt idx="17">
                  <c:v>32.5% to 35.0%</c:v>
                </c:pt>
                <c:pt idx="18">
                  <c:v>35.0% to 37.5%</c:v>
                </c:pt>
                <c:pt idx="19">
                  <c:v>37.5% to 40.0%</c:v>
                </c:pt>
                <c:pt idx="20">
                  <c:v>40.0% to 42.5%</c:v>
                </c:pt>
                <c:pt idx="21">
                  <c:v>42.5% to 45.0%</c:v>
                </c:pt>
                <c:pt idx="22">
                  <c:v>45.0% to 47.5%</c:v>
                </c:pt>
              </c:strCache>
            </c:strRef>
          </c:cat>
          <c:val>
            <c:numRef>
              <c:f>'Monte Carlo'!$B$50:$B$72</c:f>
              <c:numCache>
                <c:formatCode>#,##0;\(#,##0\);\-</c:formatCode>
                <c:ptCount val="23"/>
                <c:pt idx="0">
                  <c:v>22</c:v>
                </c:pt>
                <c:pt idx="1">
                  <c:v>19</c:v>
                </c:pt>
                <c:pt idx="2">
                  <c:v>51</c:v>
                </c:pt>
                <c:pt idx="3">
                  <c:v>60</c:v>
                </c:pt>
                <c:pt idx="4">
                  <c:v>79</c:v>
                </c:pt>
                <c:pt idx="5">
                  <c:v>101</c:v>
                </c:pt>
                <c:pt idx="6">
                  <c:v>160</c:v>
                </c:pt>
                <c:pt idx="7">
                  <c:v>240</c:v>
                </c:pt>
                <c:pt idx="8">
                  <c:v>364</c:v>
                </c:pt>
                <c:pt idx="9">
                  <c:v>525</c:v>
                </c:pt>
                <c:pt idx="10">
                  <c:v>717</c:v>
                </c:pt>
                <c:pt idx="11">
                  <c:v>938</c:v>
                </c:pt>
                <c:pt idx="12">
                  <c:v>1190</c:v>
                </c:pt>
                <c:pt idx="13">
                  <c:v>1275</c:v>
                </c:pt>
                <c:pt idx="14">
                  <c:v>1359</c:v>
                </c:pt>
                <c:pt idx="15">
                  <c:v>1106</c:v>
                </c:pt>
                <c:pt idx="16">
                  <c:v>842</c:v>
                </c:pt>
                <c:pt idx="17">
                  <c:v>507</c:v>
                </c:pt>
                <c:pt idx="18">
                  <c:v>244</c:v>
                </c:pt>
                <c:pt idx="19">
                  <c:v>81</c:v>
                </c:pt>
                <c:pt idx="20">
                  <c:v>18</c:v>
                </c:pt>
                <c:pt idx="21">
                  <c:v>4</c:v>
                </c:pt>
                <c:pt idx="22">
                  <c:v>0</c:v>
                </c:pt>
              </c:numCache>
            </c:numRef>
          </c:val>
        </c:ser>
        <c:gapWidth val="20"/>
        <c:overlap val="0"/>
        <c:axId val="4209149"/>
        <c:axId val="20995348"/>
      </c:barChart>
      <c:catAx>
        <c:axId val="420914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Equity IRR bucket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0995348"/>
        <c:crosses val="autoZero"/>
        <c:auto val="1"/>
        <c:lblAlgn val="ctr"/>
        <c:lblOffset val="100"/>
        <c:noMultiLvlLbl val="0"/>
      </c:catAx>
      <c:valAx>
        <c:axId val="209953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Number of trials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20914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Minimum DSCR — distribution (shaded buckets breach the 1.25x covenant)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'Monte Carlo'!$A$76:$A$98</c:f>
              <c:strCache>
                <c:ptCount val="23"/>
                <c:pt idx="0">
                  <c:v>0.00 to 0.12</c:v>
                </c:pt>
                <c:pt idx="1">
                  <c:v>0.12 to 0.25</c:v>
                </c:pt>
                <c:pt idx="2">
                  <c:v>0.25 to 0.38</c:v>
                </c:pt>
                <c:pt idx="3">
                  <c:v>0.38 to 0.50</c:v>
                </c:pt>
                <c:pt idx="4">
                  <c:v>0.50 to 0.62</c:v>
                </c:pt>
                <c:pt idx="5">
                  <c:v>0.62 to 0.75</c:v>
                </c:pt>
                <c:pt idx="6">
                  <c:v>0.75 to 0.88</c:v>
                </c:pt>
                <c:pt idx="7">
                  <c:v>0.88 to 1.00</c:v>
                </c:pt>
                <c:pt idx="8">
                  <c:v>1.00 to 1.12</c:v>
                </c:pt>
                <c:pt idx="9">
                  <c:v>1.12 to 1.25</c:v>
                </c:pt>
                <c:pt idx="10">
                  <c:v>1.25 to 1.38</c:v>
                </c:pt>
                <c:pt idx="11">
                  <c:v>1.38 to 1.50</c:v>
                </c:pt>
                <c:pt idx="12">
                  <c:v>1.50 to 1.62</c:v>
                </c:pt>
                <c:pt idx="13">
                  <c:v>1.62 to 1.75</c:v>
                </c:pt>
                <c:pt idx="14">
                  <c:v>1.75 to 1.88</c:v>
                </c:pt>
                <c:pt idx="15">
                  <c:v>1.88 to 2.00</c:v>
                </c:pt>
                <c:pt idx="16">
                  <c:v>2.00 to 2.12</c:v>
                </c:pt>
                <c:pt idx="17">
                  <c:v>2.12 to 2.25</c:v>
                </c:pt>
                <c:pt idx="18">
                  <c:v>2.25 to 2.38</c:v>
                </c:pt>
                <c:pt idx="19">
                  <c:v>2.38 to 2.50</c:v>
                </c:pt>
                <c:pt idx="20">
                  <c:v>2.50 to 2.62</c:v>
                </c:pt>
                <c:pt idx="21">
                  <c:v>2.62 to 2.75</c:v>
                </c:pt>
                <c:pt idx="22">
                  <c:v>2.75 to 2.88</c:v>
                </c:pt>
              </c:strCache>
            </c:strRef>
          </c:cat>
          <c:val>
            <c:numRef>
              <c:f>'Monte Carlo'!$B$76:$B$98</c:f>
              <c:numCache>
                <c:formatCode>#,##0;\(#,##0\);\-</c:formatCode>
                <c:ptCount val="23"/>
                <c:pt idx="0">
                  <c:v>4</c:v>
                </c:pt>
                <c:pt idx="1">
                  <c:v>22</c:v>
                </c:pt>
                <c:pt idx="2">
                  <c:v>62</c:v>
                </c:pt>
                <c:pt idx="3">
                  <c:v>147</c:v>
                </c:pt>
                <c:pt idx="4">
                  <c:v>321</c:v>
                </c:pt>
                <c:pt idx="5">
                  <c:v>500</c:v>
                </c:pt>
                <c:pt idx="6">
                  <c:v>706</c:v>
                </c:pt>
                <c:pt idx="7">
                  <c:v>905</c:v>
                </c:pt>
                <c:pt idx="8">
                  <c:v>1114</c:v>
                </c:pt>
                <c:pt idx="9">
                  <c:v>1150</c:v>
                </c:pt>
                <c:pt idx="10">
                  <c:v>1173</c:v>
                </c:pt>
                <c:pt idx="11">
                  <c:v>1110</c:v>
                </c:pt>
                <c:pt idx="12">
                  <c:v>953</c:v>
                </c:pt>
                <c:pt idx="13">
                  <c:v>938</c:v>
                </c:pt>
                <c:pt idx="14">
                  <c:v>506</c:v>
                </c:pt>
                <c:pt idx="15">
                  <c:v>292</c:v>
                </c:pt>
                <c:pt idx="16">
                  <c:v>52</c:v>
                </c:pt>
                <c:pt idx="17">
                  <c:v>27</c:v>
                </c:pt>
                <c:pt idx="18">
                  <c:v>12</c:v>
                </c:pt>
                <c:pt idx="19">
                  <c:v>1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</c:numCache>
            </c:numRef>
          </c:val>
        </c:ser>
        <c:gapWidth val="20"/>
        <c:overlap val="0"/>
        <c:axId val="36081822"/>
        <c:axId val="9477214"/>
      </c:barChart>
      <c:catAx>
        <c:axId val="3608182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Minimum DSCR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477214"/>
        <c:crosses val="autoZero"/>
        <c:auto val="1"/>
        <c:lblAlgn val="ctr"/>
        <c:lblOffset val="100"/>
        <c:noMultiLvlLbl val="0"/>
      </c:catAx>
      <c:valAx>
        <c:axId val="94772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Number of trials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608182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Revenue and EBITDA (Rs Lakh)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"Revenue"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'P&amp;L'!$C$4:$L$4</c:f>
              <c:multiLvlStrCache>
                <c:ptCount val="1"/>
                <c:lvl>
                  <c:pt idx="0">
                    <c:v>Year 10</c:v>
                  </c:pt>
                </c:lvl>
                <c:lvl>
                  <c:pt idx="0">
                    <c:v>Year 9</c:v>
                  </c:pt>
                </c:lvl>
                <c:lvl>
                  <c:pt idx="0">
                    <c:v>Year 8</c:v>
                  </c:pt>
                </c:lvl>
                <c:lvl>
                  <c:pt idx="0">
                    <c:v>Year 7</c:v>
                  </c:pt>
                </c:lvl>
                <c:lvl>
                  <c:pt idx="0">
                    <c:v>Year 6</c:v>
                  </c:pt>
                </c:lvl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'P&amp;L'!$C$6:$L$6</c:f>
              <c:numCache>
                <c:formatCode>#,##0;\(#,##0\);\-</c:formatCode>
                <c:ptCount val="10"/>
                <c:pt idx="0">
                  <c:v>3013.321464</c:v>
                </c:pt>
                <c:pt idx="1">
                  <c:v>5112.405485</c:v>
                </c:pt>
                <c:pt idx="2">
                  <c:v>7204.8789977175</c:v>
                </c:pt>
                <c:pt idx="3">
                  <c:v>8880.23550953164</c:v>
                </c:pt>
                <c:pt idx="4">
                  <c:v>10439.458736271</c:v>
                </c:pt>
                <c:pt idx="5">
                  <c:v>11622.049546621</c:v>
                </c:pt>
                <c:pt idx="6">
                  <c:v>12602.740462311</c:v>
                </c:pt>
                <c:pt idx="7">
                  <c:v>13591.6296339557</c:v>
                </c:pt>
                <c:pt idx="8">
                  <c:v>14684.0487072853</c:v>
                </c:pt>
                <c:pt idx="9">
                  <c:v>15830.8165856815</c:v>
                </c:pt>
              </c:numCache>
            </c:numRef>
          </c:val>
        </c:ser>
        <c:ser>
          <c:idx val="1"/>
          <c:order val="1"/>
          <c:tx>
            <c:strRef>
              <c:f>"EBITDA"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C0504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'P&amp;L'!$C$4:$L$4</c:f>
              <c:multiLvlStrCache>
                <c:ptCount val="1"/>
                <c:lvl>
                  <c:pt idx="0">
                    <c:v>Year 10</c:v>
                  </c:pt>
                </c:lvl>
                <c:lvl>
                  <c:pt idx="0">
                    <c:v>Year 9</c:v>
                  </c:pt>
                </c:lvl>
                <c:lvl>
                  <c:pt idx="0">
                    <c:v>Year 8</c:v>
                  </c:pt>
                </c:lvl>
                <c:lvl>
                  <c:pt idx="0">
                    <c:v>Year 7</c:v>
                  </c:pt>
                </c:lvl>
                <c:lvl>
                  <c:pt idx="0">
                    <c:v>Year 6</c:v>
                  </c:pt>
                </c:lvl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'P&amp;L'!$C$20:$L$20</c:f>
              <c:numCache>
                <c:formatCode>#,##0;\(#,##0\);\-</c:formatCode>
                <c:ptCount val="10"/>
                <c:pt idx="0">
                  <c:v>-386.36060876</c:v>
                </c:pt>
                <c:pt idx="1">
                  <c:v>517.57216254</c:v>
                </c:pt>
                <c:pt idx="2">
                  <c:v>1409.30936832075</c:v>
                </c:pt>
                <c:pt idx="3">
                  <c:v>2028.65082182417</c:v>
                </c:pt>
                <c:pt idx="4">
                  <c:v>2477.82306017938</c:v>
                </c:pt>
                <c:pt idx="5">
                  <c:v>2918.42820495664</c:v>
                </c:pt>
                <c:pt idx="6">
                  <c:v>3225.02646884253</c:v>
                </c:pt>
                <c:pt idx="7">
                  <c:v>3515.00326222168</c:v>
                </c:pt>
                <c:pt idx="8">
                  <c:v>3857.93009991592</c:v>
                </c:pt>
                <c:pt idx="9">
                  <c:v>4213.83058231209</c:v>
                </c:pt>
              </c:numCache>
            </c:numRef>
          </c:val>
        </c:ser>
        <c:gapWidth val="150"/>
        <c:overlap val="0"/>
        <c:axId val="11020283"/>
        <c:axId val="51472995"/>
      </c:barChart>
      <c:catAx>
        <c:axId val="1102028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Operating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1472995"/>
        <c:crosses val="autoZero"/>
        <c:auto val="1"/>
        <c:lblAlgn val="ctr"/>
        <c:lblOffset val="100"/>
        <c:noMultiLvlLbl val="0"/>
      </c:catAx>
      <c:valAx>
        <c:axId val="5147299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Rs Lakh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102028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EBITDA margin and PAT margin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"EBITDA margin"</c:f>
              <c:strCache>
                <c:ptCount val="1"/>
                <c:pt idx="0">
                  <c:v>EBITDA margin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'P&amp;L'!$C$4:$L$4</c:f>
              <c:multiLvlStrCache>
                <c:ptCount val="1"/>
                <c:lvl>
                  <c:pt idx="0">
                    <c:v>Year 10</c:v>
                  </c:pt>
                </c:lvl>
                <c:lvl>
                  <c:pt idx="0">
                    <c:v>Year 9</c:v>
                  </c:pt>
                </c:lvl>
                <c:lvl>
                  <c:pt idx="0">
                    <c:v>Year 8</c:v>
                  </c:pt>
                </c:lvl>
                <c:lvl>
                  <c:pt idx="0">
                    <c:v>Year 7</c:v>
                  </c:pt>
                </c:lvl>
                <c:lvl>
                  <c:pt idx="0">
                    <c:v>Year 6</c:v>
                  </c:pt>
                </c:lvl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'P&amp;L'!$C$21:$L$21</c:f>
              <c:numCache>
                <c:formatCode>0.0%;\(0.0%\);\-</c:formatCode>
                <c:ptCount val="10"/>
                <c:pt idx="0">
                  <c:v>-0.128217521222289</c:v>
                </c:pt>
                <c:pt idx="1">
                  <c:v>0.101238480409775</c:v>
                </c:pt>
                <c:pt idx="2">
                  <c:v>0.195604862866846</c:v>
                </c:pt>
                <c:pt idx="3">
                  <c:v>0.228445610439803</c:v>
                </c:pt>
                <c:pt idx="4">
                  <c:v>0.237351679122059</c:v>
                </c:pt>
                <c:pt idx="5">
                  <c:v>0.25111132018923</c:v>
                </c:pt>
                <c:pt idx="6">
                  <c:v>0.255898824425298</c:v>
                </c:pt>
                <c:pt idx="7">
                  <c:v>0.258615291682185</c:v>
                </c:pt>
                <c:pt idx="8">
                  <c:v>0.262729317834656</c:v>
                </c:pt>
                <c:pt idx="9">
                  <c:v>0.266178978166128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"PAT margin"</c:f>
              <c:strCache>
                <c:ptCount val="1"/>
                <c:pt idx="0">
                  <c:v>PAT margin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'P&amp;L'!$C$4:$L$4</c:f>
              <c:multiLvlStrCache>
                <c:ptCount val="1"/>
                <c:lvl>
                  <c:pt idx="0">
                    <c:v>Year 10</c:v>
                  </c:pt>
                </c:lvl>
                <c:lvl>
                  <c:pt idx="0">
                    <c:v>Year 9</c:v>
                  </c:pt>
                </c:lvl>
                <c:lvl>
                  <c:pt idx="0">
                    <c:v>Year 8</c:v>
                  </c:pt>
                </c:lvl>
                <c:lvl>
                  <c:pt idx="0">
                    <c:v>Year 7</c:v>
                  </c:pt>
                </c:lvl>
                <c:lvl>
                  <c:pt idx="0">
                    <c:v>Year 6</c:v>
                  </c:pt>
                </c:lvl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'P&amp;L'!$C$39:$L$39</c:f>
              <c:numCache>
                <c:formatCode>0.0%;\(0.0%\);\-</c:formatCode>
                <c:ptCount val="10"/>
                <c:pt idx="0">
                  <c:v>-0.620591457984682</c:v>
                </c:pt>
                <c:pt idx="1">
                  <c:v>-0.193022402529618</c:v>
                </c:pt>
                <c:pt idx="2">
                  <c:v>-0.0210755216968464</c:v>
                </c:pt>
                <c:pt idx="3">
                  <c:v>0.0532550725799828</c:v>
                </c:pt>
                <c:pt idx="4">
                  <c:v>0.0925182978901524</c:v>
                </c:pt>
                <c:pt idx="5">
                  <c:v>0.135178736149798</c:v>
                </c:pt>
                <c:pt idx="6">
                  <c:v>0.119090771554319</c:v>
                </c:pt>
                <c:pt idx="7">
                  <c:v>0.132346865993174</c:v>
                </c:pt>
                <c:pt idx="8">
                  <c:v>0.146238167967051</c:v>
                </c:pt>
                <c:pt idx="9">
                  <c:v>0.158763601337297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2992427"/>
        <c:axId val="65941082"/>
      </c:lineChart>
      <c:catAx>
        <c:axId val="8299242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Operating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5941082"/>
        <c:crosses val="autoZero"/>
        <c:auto val="1"/>
        <c:lblAlgn val="ctr"/>
        <c:lblOffset val="100"/>
        <c:noMultiLvlLbl val="0"/>
      </c:catAx>
      <c:valAx>
        <c:axId val="6594108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% of revenue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299242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Occupancy vs break-even occupancy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"Actual occupancy"</c:f>
              <c:strCache>
                <c:ptCount val="1"/>
                <c:pt idx="0">
                  <c:v>Actual occupancy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'Break-even'!$C$4:$L$4</c:f>
              <c:multiLvlStrCache>
                <c:ptCount val="1"/>
                <c:lvl>
                  <c:pt idx="0">
                    <c:v>Year 10</c:v>
                  </c:pt>
                </c:lvl>
                <c:lvl>
                  <c:pt idx="0">
                    <c:v>Year 9</c:v>
                  </c:pt>
                </c:lvl>
                <c:lvl>
                  <c:pt idx="0">
                    <c:v>Year 8</c:v>
                  </c:pt>
                </c:lvl>
                <c:lvl>
                  <c:pt idx="0">
                    <c:v>Year 7</c:v>
                  </c:pt>
                </c:lvl>
                <c:lvl>
                  <c:pt idx="0">
                    <c:v>Year 6</c:v>
                  </c:pt>
                </c:lvl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'Break-even'!$C$21:$L$21</c:f>
              <c:numCache>
                <c:formatCode>0.0%;\(0.0%\);\-</c:formatCode>
                <c:ptCount val="10"/>
                <c:pt idx="0">
                  <c:v>0.2736</c:v>
                </c:pt>
                <c:pt idx="1">
                  <c:v>0.432</c:v>
                </c:pt>
                <c:pt idx="2">
                  <c:v>0.5616</c:v>
                </c:pt>
                <c:pt idx="3">
                  <c:v>0.6408</c:v>
                </c:pt>
                <c:pt idx="4">
                  <c:v>0.6984</c:v>
                </c:pt>
                <c:pt idx="5">
                  <c:v>0.72</c:v>
                </c:pt>
                <c:pt idx="6">
                  <c:v>0.72</c:v>
                </c:pt>
                <c:pt idx="7">
                  <c:v>0.72</c:v>
                </c:pt>
                <c:pt idx="8">
                  <c:v>0.72</c:v>
                </c:pt>
                <c:pt idx="9">
                  <c:v>0.72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"Accounting break-even"</c:f>
              <c:strCache>
                <c:ptCount val="1"/>
                <c:pt idx="0">
                  <c:v>Accounting break-even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'Break-even'!$C$4:$L$4</c:f>
              <c:multiLvlStrCache>
                <c:ptCount val="1"/>
                <c:lvl>
                  <c:pt idx="0">
                    <c:v>Year 10</c:v>
                  </c:pt>
                </c:lvl>
                <c:lvl>
                  <c:pt idx="0">
                    <c:v>Year 9</c:v>
                  </c:pt>
                </c:lvl>
                <c:lvl>
                  <c:pt idx="0">
                    <c:v>Year 8</c:v>
                  </c:pt>
                </c:lvl>
                <c:lvl>
                  <c:pt idx="0">
                    <c:v>Year 7</c:v>
                  </c:pt>
                </c:lvl>
                <c:lvl>
                  <c:pt idx="0">
                    <c:v>Year 6</c:v>
                  </c:pt>
                </c:lvl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'Break-even'!$C$23:$L$23</c:f>
              <c:numCache>
                <c:formatCode>0.0%;\(0.0%\);\-</c:formatCode>
                <c:ptCount val="10"/>
                <c:pt idx="0">
                  <c:v>0.525946944884836</c:v>
                </c:pt>
                <c:pt idx="1">
                  <c:v>0.555934185980715</c:v>
                </c:pt>
                <c:pt idx="2">
                  <c:v>0.579180712914745</c:v>
                </c:pt>
                <c:pt idx="3">
                  <c:v>0.590130550717352</c:v>
                </c:pt>
                <c:pt idx="4">
                  <c:v>0.602494683237863</c:v>
                </c:pt>
                <c:pt idx="5">
                  <c:v>0.575550273649472</c:v>
                </c:pt>
                <c:pt idx="6">
                  <c:v>0.550106659186081</c:v>
                </c:pt>
                <c:pt idx="7">
                  <c:v>0.531234643270096</c:v>
                </c:pt>
                <c:pt idx="8">
                  <c:v>0.511518687711537</c:v>
                </c:pt>
                <c:pt idx="9">
                  <c:v>0.493702178650216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"Cash break-even"</c:f>
              <c:strCache>
                <c:ptCount val="1"/>
                <c:pt idx="0">
                  <c:v>Cash break-even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'Break-even'!$C$4:$L$4</c:f>
              <c:multiLvlStrCache>
                <c:ptCount val="1"/>
                <c:lvl>
                  <c:pt idx="0">
                    <c:v>Year 10</c:v>
                  </c:pt>
                </c:lvl>
                <c:lvl>
                  <c:pt idx="0">
                    <c:v>Year 9</c:v>
                  </c:pt>
                </c:lvl>
                <c:lvl>
                  <c:pt idx="0">
                    <c:v>Year 8</c:v>
                  </c:pt>
                </c:lvl>
                <c:lvl>
                  <c:pt idx="0">
                    <c:v>Year 7</c:v>
                  </c:pt>
                </c:lvl>
                <c:lvl>
                  <c:pt idx="0">
                    <c:v>Year 6</c:v>
                  </c:pt>
                </c:lvl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'Break-even'!$C$24:$L$24</c:f>
              <c:numCache>
                <c:formatCode>0.0%;\(0.0%\);\-</c:formatCode>
                <c:ptCount val="10"/>
                <c:pt idx="0">
                  <c:v>0.443109699036675</c:v>
                </c:pt>
                <c:pt idx="1">
                  <c:v>0.478837276690539</c:v>
                </c:pt>
                <c:pt idx="2">
                  <c:v>0.503330883295672</c:v>
                </c:pt>
                <c:pt idx="3">
                  <c:v>0.568243761651886</c:v>
                </c:pt>
                <c:pt idx="4">
                  <c:v>0.611245933705141</c:v>
                </c:pt>
                <c:pt idx="5">
                  <c:v>0.611389083608614</c:v>
                </c:pt>
                <c:pt idx="6">
                  <c:v>0.597194536769494</c:v>
                </c:pt>
                <c:pt idx="7">
                  <c:v>0.585086715097005</c:v>
                </c:pt>
                <c:pt idx="8">
                  <c:v>0.570633564356814</c:v>
                </c:pt>
                <c:pt idx="9">
                  <c:v>0.551770982888438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4624056"/>
        <c:axId val="14140728"/>
      </c:lineChart>
      <c:catAx>
        <c:axId val="1462405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Operating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4140728"/>
        <c:crosses val="autoZero"/>
        <c:auto val="1"/>
        <c:lblAlgn val="ctr"/>
        <c:lblOffset val="100"/>
        <c:noMultiLvlLbl val="0"/>
      </c:catAx>
      <c:valAx>
        <c:axId val="141407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Occupancy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462405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DSCR profile against the 1.25x covenant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"DSCR - cash basis"</c:f>
              <c:strCache>
                <c:ptCount val="1"/>
                <c:pt idx="0">
                  <c:v>DSCR - cash basis</c:v>
                </c:pt>
              </c:strCache>
            </c:strRef>
          </c:tx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'DSCR &amp; Covenants'!$C$4:$L$4</c:f>
              <c:multiLvlStrCache>
                <c:ptCount val="1"/>
                <c:lvl>
                  <c:pt idx="0">
                    <c:v>Year 10</c:v>
                  </c:pt>
                </c:lvl>
                <c:lvl>
                  <c:pt idx="0">
                    <c:v>Year 9</c:v>
                  </c:pt>
                </c:lvl>
                <c:lvl>
                  <c:pt idx="0">
                    <c:v>Year 8</c:v>
                  </c:pt>
                </c:lvl>
                <c:lvl>
                  <c:pt idx="0">
                    <c:v>Year 7</c:v>
                  </c:pt>
                </c:lvl>
                <c:lvl>
                  <c:pt idx="0">
                    <c:v>Year 6</c:v>
                  </c:pt>
                </c:lvl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'DSCR &amp; Covenants'!$C$18:$L$18</c:f>
              <c:numCache>
                <c:formatCode>0.00\x;\(0.00"x)";\-</c:formatCode>
                <c:ptCount val="10"/>
                <c:pt idx="0">
                  <c:v>-0.806041234657476</c:v>
                </c:pt>
                <c:pt idx="1">
                  <c:v>0.3676590093524</c:v>
                </c:pt>
                <c:pt idx="2">
                  <c:v>1.44119331990132</c:v>
                </c:pt>
                <c:pt idx="3">
                  <c:v>1.46136313211039</c:v>
                </c:pt>
                <c:pt idx="4">
                  <c:v>1.53762781246757</c:v>
                </c:pt>
                <c:pt idx="5">
                  <c:v>1.69285807822032</c:v>
                </c:pt>
                <c:pt idx="6">
                  <c:v>1.54979618743682</c:v>
                </c:pt>
                <c:pt idx="7">
                  <c:v>1.64038425840806</c:v>
                </c:pt>
                <c:pt idx="8">
                  <c:v>1.76069212857713</c:v>
                </c:pt>
                <c:pt idx="9">
                  <c:v>1.99133367540981</c:v>
                </c:pt>
              </c:numCache>
            </c:numRef>
          </c:val>
        </c:ser>
        <c:ser>
          <c:idx val="1"/>
          <c:order val="1"/>
          <c:tx>
            <c:strRef>
              <c:f>"DSCR - accrual basis"</c:f>
              <c:strCache>
                <c:ptCount val="1"/>
                <c:pt idx="0">
                  <c:v>DSCR - accrual basis</c:v>
                </c:pt>
              </c:strCache>
            </c:strRef>
          </c:tx>
          <c:spPr>
            <a:solidFill>
              <a:srgbClr val="C0504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'DSCR &amp; Covenants'!$C$4:$L$4</c:f>
              <c:multiLvlStrCache>
                <c:ptCount val="1"/>
                <c:lvl>
                  <c:pt idx="0">
                    <c:v>Year 10</c:v>
                  </c:pt>
                </c:lvl>
                <c:lvl>
                  <c:pt idx="0">
                    <c:v>Year 9</c:v>
                  </c:pt>
                </c:lvl>
                <c:lvl>
                  <c:pt idx="0">
                    <c:v>Year 8</c:v>
                  </c:pt>
                </c:lvl>
                <c:lvl>
                  <c:pt idx="0">
                    <c:v>Year 7</c:v>
                  </c:pt>
                </c:lvl>
                <c:lvl>
                  <c:pt idx="0">
                    <c:v>Year 6</c:v>
                  </c:pt>
                </c:lvl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'DSCR &amp; Covenants'!$C$19:$L$19</c:f>
              <c:numCache>
                <c:formatCode>0.00\x;\(0.00"x)";\-</c:formatCode>
                <c:ptCount val="10"/>
                <c:pt idx="0">
                  <c:v>-0.506951157813769</c:v>
                </c:pt>
                <c:pt idx="1">
                  <c:v>0.552611370459394</c:v>
                </c:pt>
                <c:pt idx="2">
                  <c:v>1.60375173824078</c:v>
                </c:pt>
                <c:pt idx="3">
                  <c:v>1.53162138681724</c:v>
                </c:pt>
                <c:pt idx="4">
                  <c:v>1.57846238616117</c:v>
                </c:pt>
                <c:pt idx="5">
                  <c:v>1.71409699941037</c:v>
                </c:pt>
                <c:pt idx="6">
                  <c:v>1.55834627006421</c:v>
                </c:pt>
                <c:pt idx="7">
                  <c:v>1.64931544488343</c:v>
                </c:pt>
                <c:pt idx="8">
                  <c:v>1.77575929516424</c:v>
                </c:pt>
                <c:pt idx="9">
                  <c:v>2.01058772663442</c:v>
                </c:pt>
              </c:numCache>
            </c:numRef>
          </c:val>
        </c:ser>
        <c:gapWidth val="150"/>
        <c:overlap val="0"/>
        <c:axId val="5089626"/>
        <c:axId val="3413763"/>
      </c:barChart>
      <c:catAx>
        <c:axId val="508962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Operating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413763"/>
        <c:crosses val="autoZero"/>
        <c:auto val="1"/>
        <c:lblAlgn val="ctr"/>
        <c:lblOffset val="100"/>
        <c:noMultiLvlLbl val="0"/>
      </c:catAx>
      <c:valAx>
        <c:axId val="34137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DSCR (x)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\x;\(0.00&quot;x)&quot;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08962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Net ARPOB (Rs per occupied bed-day)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"Net ARPOB"</c:f>
              <c:strCache>
                <c:ptCount val="1"/>
                <c:pt idx="0">
                  <c:v>Net ARPOB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'Revenue Build'!$C$4:$L$4</c:f>
              <c:multiLvlStrCache>
                <c:ptCount val="1"/>
                <c:lvl>
                  <c:pt idx="0">
                    <c:v>Year 10</c:v>
                  </c:pt>
                </c:lvl>
                <c:lvl>
                  <c:pt idx="0">
                    <c:v>Year 9</c:v>
                  </c:pt>
                </c:lvl>
                <c:lvl>
                  <c:pt idx="0">
                    <c:v>Year 8</c:v>
                  </c:pt>
                </c:lvl>
                <c:lvl>
                  <c:pt idx="0">
                    <c:v>Year 7</c:v>
                  </c:pt>
                </c:lvl>
                <c:lvl>
                  <c:pt idx="0">
                    <c:v>Year 6</c:v>
                  </c:pt>
                </c:lvl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'Revenue Build'!$C$14:$L$14</c:f>
              <c:numCache>
                <c:formatCode>#,##0;\(#,##0\);\-</c:formatCode>
                <c:ptCount val="10"/>
                <c:pt idx="0">
                  <c:v>24088.5</c:v>
                </c:pt>
                <c:pt idx="1">
                  <c:v>25895.1375</c:v>
                </c:pt>
                <c:pt idx="2">
                  <c:v>27837.2728125</c:v>
                </c:pt>
                <c:pt idx="3">
                  <c:v>29925.0682734375</c:v>
                </c:pt>
                <c:pt idx="4">
                  <c:v>32169.4483939453</c:v>
                </c:pt>
                <c:pt idx="5">
                  <c:v>34582.1570234912</c:v>
                </c:pt>
                <c:pt idx="6">
                  <c:v>37175.818800253</c:v>
                </c:pt>
                <c:pt idx="7">
                  <c:v>39964.005210272</c:v>
                </c:pt>
                <c:pt idx="8">
                  <c:v>42961.3056010424</c:v>
                </c:pt>
                <c:pt idx="9">
                  <c:v>46183.4035211206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0721654"/>
        <c:axId val="27942997"/>
      </c:lineChart>
      <c:catAx>
        <c:axId val="5072165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Operating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7942997"/>
        <c:crosses val="autoZero"/>
        <c:auto val="1"/>
        <c:lblAlgn val="ctr"/>
        <c:lblOffset val="100"/>
        <c:noMultiLvlLbl val="0"/>
      </c:catAx>
      <c:valAx>
        <c:axId val="279429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072165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Revenue mix by service line (Rs Lakh)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"Inpatient"</c:f>
              <c:strCache>
                <c:ptCount val="1"/>
                <c:pt idx="0">
                  <c:v>Inpatient</c:v>
                </c:pt>
              </c:strCache>
            </c:strRef>
          </c:tx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'Revenue Build'!$C$4:$L$4</c:f>
              <c:multiLvlStrCache>
                <c:ptCount val="1"/>
                <c:lvl>
                  <c:pt idx="0">
                    <c:v>Year 10</c:v>
                  </c:pt>
                </c:lvl>
                <c:lvl>
                  <c:pt idx="0">
                    <c:v>Year 9</c:v>
                  </c:pt>
                </c:lvl>
                <c:lvl>
                  <c:pt idx="0">
                    <c:v>Year 8</c:v>
                  </c:pt>
                </c:lvl>
                <c:lvl>
                  <c:pt idx="0">
                    <c:v>Year 7</c:v>
                  </c:pt>
                </c:lvl>
                <c:lvl>
                  <c:pt idx="0">
                    <c:v>Year 6</c:v>
                  </c:pt>
                </c:lvl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'Revenue Build'!$C$15:$L$15</c:f>
              <c:numCache>
                <c:formatCode>#,##0;\(#,##0\);\-</c:formatCode>
                <c:ptCount val="10"/>
                <c:pt idx="0">
                  <c:v>2405.573964</c:v>
                </c:pt>
                <c:pt idx="1">
                  <c:v>4083.145281</c:v>
                </c:pt>
                <c:pt idx="2">
                  <c:v>5706.1955301975</c:v>
                </c:pt>
                <c:pt idx="3">
                  <c:v>6999.23406861084</c:v>
                </c:pt>
                <c:pt idx="4">
                  <c:v>8200.50710679096</c:v>
                </c:pt>
                <c:pt idx="5">
                  <c:v>9088.19086577349</c:v>
                </c:pt>
                <c:pt idx="6">
                  <c:v>9769.8051807065</c:v>
                </c:pt>
                <c:pt idx="7">
                  <c:v>10502.5405692595</c:v>
                </c:pt>
                <c:pt idx="8">
                  <c:v>11290.2311119539</c:v>
                </c:pt>
                <c:pt idx="9">
                  <c:v>12136.9984453505</c:v>
                </c:pt>
              </c:numCache>
            </c:numRef>
          </c:val>
        </c:ser>
        <c:ser>
          <c:idx val="1"/>
          <c:order val="1"/>
          <c:tx>
            <c:strRef>
              <c:f>"Outpatient"</c:f>
              <c:strCache>
                <c:ptCount val="1"/>
                <c:pt idx="0">
                  <c:v>Outpatient</c:v>
                </c:pt>
              </c:strCache>
            </c:strRef>
          </c:tx>
          <c:spPr>
            <a:solidFill>
              <a:srgbClr val="C0504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'Revenue Build'!$C$4:$L$4</c:f>
              <c:multiLvlStrCache>
                <c:ptCount val="1"/>
                <c:lvl>
                  <c:pt idx="0">
                    <c:v>Year 10</c:v>
                  </c:pt>
                </c:lvl>
                <c:lvl>
                  <c:pt idx="0">
                    <c:v>Year 9</c:v>
                  </c:pt>
                </c:lvl>
                <c:lvl>
                  <c:pt idx="0">
                    <c:v>Year 8</c:v>
                  </c:pt>
                </c:lvl>
                <c:lvl>
                  <c:pt idx="0">
                    <c:v>Year 7</c:v>
                  </c:pt>
                </c:lvl>
                <c:lvl>
                  <c:pt idx="0">
                    <c:v>Year 6</c:v>
                  </c:pt>
                </c:lvl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'Revenue Build'!$C$21:$L$21</c:f>
              <c:numCache>
                <c:formatCode>#,##0;\(#,##0\);\-</c:formatCode>
                <c:ptCount val="10"/>
                <c:pt idx="0">
                  <c:v>255.5</c:v>
                </c:pt>
                <c:pt idx="1">
                  <c:v>433.328</c:v>
                </c:pt>
                <c:pt idx="2">
                  <c:v>631.57556</c:v>
                </c:pt>
                <c:pt idx="3">
                  <c:v>791.1919288</c:v>
                </c:pt>
                <c:pt idx="4">
                  <c:v>935.432303512</c:v>
                </c:pt>
                <c:pt idx="5">
                  <c:v>1059.94156873808</c:v>
                </c:pt>
                <c:pt idx="6">
                  <c:v>1177.90280783958</c:v>
                </c:pt>
                <c:pt idx="7">
                  <c:v>1286.99472942718</c:v>
                </c:pt>
                <c:pt idx="8">
                  <c:v>1404.93723149707</c:v>
                </c:pt>
                <c:pt idx="9">
                  <c:v>1532.39965278942</c:v>
                </c:pt>
              </c:numCache>
            </c:numRef>
          </c:val>
        </c:ser>
        <c:ser>
          <c:idx val="2"/>
          <c:order val="2"/>
          <c:tx>
            <c:strRef>
              <c:f>"Diagnostics"</c:f>
              <c:strCache>
                <c:ptCount val="1"/>
                <c:pt idx="0">
                  <c:v>Diagnostics</c:v>
                </c:pt>
              </c:strCache>
            </c:strRef>
          </c:tx>
          <c:spPr>
            <a:solidFill>
              <a:srgbClr val="9BBB59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'Revenue Build'!$C$4:$L$4</c:f>
              <c:multiLvlStrCache>
                <c:ptCount val="1"/>
                <c:lvl>
                  <c:pt idx="0">
                    <c:v>Year 10</c:v>
                  </c:pt>
                </c:lvl>
                <c:lvl>
                  <c:pt idx="0">
                    <c:v>Year 9</c:v>
                  </c:pt>
                </c:lvl>
                <c:lvl>
                  <c:pt idx="0">
                    <c:v>Year 8</c:v>
                  </c:pt>
                </c:lvl>
                <c:lvl>
                  <c:pt idx="0">
                    <c:v>Year 7</c:v>
                  </c:pt>
                </c:lvl>
                <c:lvl>
                  <c:pt idx="0">
                    <c:v>Year 6</c:v>
                  </c:pt>
                </c:lvl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'Revenue Build'!$C$26:$L$26</c:f>
              <c:numCache>
                <c:formatCode>#,##0;\(#,##0\);\-</c:formatCode>
                <c:ptCount val="10"/>
                <c:pt idx="0">
                  <c:v>156.0375</c:v>
                </c:pt>
                <c:pt idx="1">
                  <c:v>276.40136</c:v>
                </c:pt>
                <c:pt idx="2">
                  <c:v>411.4263648</c:v>
                </c:pt>
                <c:pt idx="3">
                  <c:v>526.142632652</c:v>
                </c:pt>
                <c:pt idx="4">
                  <c:v>634.757634526</c:v>
                </c:pt>
                <c:pt idx="5">
                  <c:v>719.24606450084</c:v>
                </c:pt>
                <c:pt idx="6">
                  <c:v>815.277014854678</c:v>
                </c:pt>
                <c:pt idx="7">
                  <c:v>890.784209153527</c:v>
                </c:pt>
                <c:pt idx="8">
                  <c:v>991.484274799364</c:v>
                </c:pt>
                <c:pt idx="9">
                  <c:v>1081.4363263971</c:v>
                </c:pt>
              </c:numCache>
            </c:numRef>
          </c:val>
        </c:ser>
        <c:ser>
          <c:idx val="3"/>
          <c:order val="3"/>
          <c:tx>
            <c:strRef>
              <c:f>"Pharmacy"</c:f>
              <c:strCache>
                <c:ptCount val="1"/>
                <c:pt idx="0">
                  <c:v>Pharmacy</c:v>
                </c:pt>
              </c:strCache>
            </c:strRef>
          </c:tx>
          <c:spPr>
            <a:solidFill>
              <a:srgbClr val="8064A2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'Revenue Build'!$C$4:$L$4</c:f>
              <c:multiLvlStrCache>
                <c:ptCount val="1"/>
                <c:lvl>
                  <c:pt idx="0">
                    <c:v>Year 10</c:v>
                  </c:pt>
                </c:lvl>
                <c:lvl>
                  <c:pt idx="0">
                    <c:v>Year 9</c:v>
                  </c:pt>
                </c:lvl>
                <c:lvl>
                  <c:pt idx="0">
                    <c:v>Year 8</c:v>
                  </c:pt>
                </c:lvl>
                <c:lvl>
                  <c:pt idx="0">
                    <c:v>Year 7</c:v>
                  </c:pt>
                </c:lvl>
                <c:lvl>
                  <c:pt idx="0">
                    <c:v>Year 6</c:v>
                  </c:pt>
                </c:lvl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'Revenue Build'!$C$31:$L$31</c:f>
              <c:numCache>
                <c:formatCode>#,##0;\(#,##0\);\-</c:formatCode>
                <c:ptCount val="10"/>
                <c:pt idx="0">
                  <c:v>96.36</c:v>
                </c:pt>
                <c:pt idx="1">
                  <c:v>169.369344</c:v>
                </c:pt>
                <c:pt idx="2">
                  <c:v>251.18662272</c:v>
                </c:pt>
                <c:pt idx="3">
                  <c:v>320.0936489088</c:v>
                </c:pt>
                <c:pt idx="4">
                  <c:v>384.86357630208</c:v>
                </c:pt>
                <c:pt idx="5">
                  <c:v>436.090245423667</c:v>
                </c:pt>
                <c:pt idx="6">
                  <c:v>492.699917336326</c:v>
                </c:pt>
                <c:pt idx="7">
                  <c:v>538.331509680398</c:v>
                </c:pt>
                <c:pt idx="8">
                  <c:v>597.299028705042</c:v>
                </c:pt>
                <c:pt idx="9">
                  <c:v>651.488766671615</c:v>
                </c:pt>
              </c:numCache>
            </c:numRef>
          </c:val>
        </c:ser>
        <c:ser>
          <c:idx val="4"/>
          <c:order val="4"/>
          <c:tx>
            <c:strRef>
              <c:f>"Dialysis"</c:f>
              <c:strCache>
                <c:ptCount val="1"/>
                <c:pt idx="0">
                  <c:v>Dialysis</c:v>
                </c:pt>
              </c:strCache>
            </c:strRef>
          </c:tx>
          <c:spPr>
            <a:solidFill>
              <a:srgbClr val="4BACC6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'Revenue Build'!$C$4:$L$4</c:f>
              <c:multiLvlStrCache>
                <c:ptCount val="1"/>
                <c:lvl>
                  <c:pt idx="0">
                    <c:v>Year 10</c:v>
                  </c:pt>
                </c:lvl>
                <c:lvl>
                  <c:pt idx="0">
                    <c:v>Year 9</c:v>
                  </c:pt>
                </c:lvl>
                <c:lvl>
                  <c:pt idx="0">
                    <c:v>Year 8</c:v>
                  </c:pt>
                </c:lvl>
                <c:lvl>
                  <c:pt idx="0">
                    <c:v>Year 7</c:v>
                  </c:pt>
                </c:lvl>
                <c:lvl>
                  <c:pt idx="0">
                    <c:v>Year 6</c:v>
                  </c:pt>
                </c:lvl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'Revenue Build'!$C$37:$L$37</c:f>
              <c:numCache>
                <c:formatCode>#,##0;\(#,##0\);\-</c:formatCode>
                <c:ptCount val="10"/>
                <c:pt idx="0">
                  <c:v>59.85</c:v>
                </c:pt>
                <c:pt idx="1">
                  <c:v>95.1615</c:v>
                </c:pt>
                <c:pt idx="2">
                  <c:v>134.49492</c:v>
                </c:pt>
                <c:pt idx="3">
                  <c:v>161.57323056</c:v>
                </c:pt>
                <c:pt idx="4">
                  <c:v>188.89811514</c:v>
                </c:pt>
                <c:pt idx="5">
                  <c:v>213.58080218496</c:v>
                </c:pt>
                <c:pt idx="6">
                  <c:v>232.055541573959</c:v>
                </c:pt>
                <c:pt idx="7">
                  <c:v>248.978616435084</c:v>
                </c:pt>
                <c:pt idx="8">
                  <c:v>267.097060329879</c:v>
                </c:pt>
                <c:pt idx="9">
                  <c:v>286.493394472882</c:v>
                </c:pt>
              </c:numCache>
            </c:numRef>
          </c:val>
        </c:ser>
        <c:ser>
          <c:idx val="5"/>
          <c:order val="5"/>
          <c:tx>
            <c:strRef>
              <c:f>"Other"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79646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'Revenue Build'!$C$4:$L$4</c:f>
              <c:multiLvlStrCache>
                <c:ptCount val="1"/>
                <c:lvl>
                  <c:pt idx="0">
                    <c:v>Year 10</c:v>
                  </c:pt>
                </c:lvl>
                <c:lvl>
                  <c:pt idx="0">
                    <c:v>Year 9</c:v>
                  </c:pt>
                </c:lvl>
                <c:lvl>
                  <c:pt idx="0">
                    <c:v>Year 8</c:v>
                  </c:pt>
                </c:lvl>
                <c:lvl>
                  <c:pt idx="0">
                    <c:v>Year 7</c:v>
                  </c:pt>
                </c:lvl>
                <c:lvl>
                  <c:pt idx="0">
                    <c:v>Year 6</c:v>
                  </c:pt>
                </c:lvl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'Revenue Build'!$C$40:$L$40</c:f>
              <c:numCache>
                <c:formatCode>#,##0;\(#,##0\);\-</c:formatCode>
                <c:ptCount val="10"/>
                <c:pt idx="0">
                  <c:v>40</c:v>
                </c:pt>
                <c:pt idx="1">
                  <c:v>55</c:v>
                </c:pt>
                <c:pt idx="2">
                  <c:v>70</c:v>
                </c:pt>
                <c:pt idx="3">
                  <c:v>82</c:v>
                </c:pt>
                <c:pt idx="4">
                  <c:v>95</c:v>
                </c:pt>
                <c:pt idx="5">
                  <c:v>105</c:v>
                </c:pt>
                <c:pt idx="6">
                  <c:v>115</c:v>
                </c:pt>
                <c:pt idx="7">
                  <c:v>124</c:v>
                </c:pt>
                <c:pt idx="8">
                  <c:v>133</c:v>
                </c:pt>
                <c:pt idx="9">
                  <c:v>142</c:v>
                </c:pt>
              </c:numCache>
            </c:numRef>
          </c:val>
        </c:ser>
        <c:gapWidth val="150"/>
        <c:overlap val="0"/>
        <c:axId val="57511856"/>
        <c:axId val="80282683"/>
      </c:barChart>
      <c:catAx>
        <c:axId val="5751185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Operating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0282683"/>
        <c:crosses val="autoZero"/>
        <c:auto val="1"/>
        <c:lblAlgn val="ctr"/>
        <c:lblOffset val="100"/>
        <c:noMultiLvlLbl val="0"/>
      </c:catAx>
      <c:valAx>
        <c:axId val="802826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Rs Lakh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751185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Cash flow — FCFF, FCFE and closing cash (Rs Lakh)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"FCFF"</c:f>
              <c:strCache>
                <c:ptCount val="1"/>
                <c:pt idx="0">
                  <c:v>FCFF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'Cash Flow'!$C$4:$L$4</c:f>
              <c:multiLvlStrCache>
                <c:ptCount val="1"/>
                <c:lvl>
                  <c:pt idx="0">
                    <c:v>Year 10</c:v>
                  </c:pt>
                </c:lvl>
                <c:lvl>
                  <c:pt idx="0">
                    <c:v>Year 9</c:v>
                  </c:pt>
                </c:lvl>
                <c:lvl>
                  <c:pt idx="0">
                    <c:v>Year 8</c:v>
                  </c:pt>
                </c:lvl>
                <c:lvl>
                  <c:pt idx="0">
                    <c:v>Year 7</c:v>
                  </c:pt>
                </c:lvl>
                <c:lvl>
                  <c:pt idx="0">
                    <c:v>Year 6</c:v>
                  </c:pt>
                </c:lvl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'Cash Flow'!$C$29:$L$29</c:f>
              <c:numCache>
                <c:formatCode>#,##0;\(#,##0\);\-</c:formatCode>
                <c:ptCount val="10"/>
                <c:pt idx="0">
                  <c:v>-671.901859939178</c:v>
                </c:pt>
                <c:pt idx="1">
                  <c:v>306.474112719863</c:v>
                </c:pt>
                <c:pt idx="2">
                  <c:v>507.255937133526</c:v>
                </c:pt>
                <c:pt idx="3">
                  <c:v>1428.02380814883</c:v>
                </c:pt>
                <c:pt idx="4">
                  <c:v>1673.63458373878</c:v>
                </c:pt>
                <c:pt idx="5">
                  <c:v>1989.12801748167</c:v>
                </c:pt>
                <c:pt idx="6">
                  <c:v>2216.85867818635</c:v>
                </c:pt>
                <c:pt idx="7">
                  <c:v>2419.58112678966</c:v>
                </c:pt>
                <c:pt idx="8">
                  <c:v>2650.59915199915</c:v>
                </c:pt>
                <c:pt idx="9">
                  <c:v>2895.82115995814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"FCFE"</c:f>
              <c:strCache>
                <c:ptCount val="1"/>
                <c:pt idx="0">
                  <c:v>FCFE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'Cash Flow'!$C$4:$L$4</c:f>
              <c:multiLvlStrCache>
                <c:ptCount val="1"/>
                <c:lvl>
                  <c:pt idx="0">
                    <c:v>Year 10</c:v>
                  </c:pt>
                </c:lvl>
                <c:lvl>
                  <c:pt idx="0">
                    <c:v>Year 9</c:v>
                  </c:pt>
                </c:lvl>
                <c:lvl>
                  <c:pt idx="0">
                    <c:v>Year 8</c:v>
                  </c:pt>
                </c:lvl>
                <c:lvl>
                  <c:pt idx="0">
                    <c:v>Year 7</c:v>
                  </c:pt>
                </c:lvl>
                <c:lvl>
                  <c:pt idx="0">
                    <c:v>Year 6</c:v>
                  </c:pt>
                </c:lvl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'Cash Flow'!$C$30:$L$30</c:f>
              <c:numCache>
                <c:formatCode>#,##0;\(#,##0\);\-</c:formatCode>
                <c:ptCount val="10"/>
                <c:pt idx="0">
                  <c:v>-1226.7093505728</c:v>
                </c:pt>
                <c:pt idx="1">
                  <c:v>-404.033377913758</c:v>
                </c:pt>
                <c:pt idx="2">
                  <c:v>-263.776553500095</c:v>
                </c:pt>
                <c:pt idx="3">
                  <c:v>377.4686542567</c:v>
                </c:pt>
                <c:pt idx="4">
                  <c:v>569.161026193301</c:v>
                </c:pt>
                <c:pt idx="5">
                  <c:v>830.801473723065</c:v>
                </c:pt>
                <c:pt idx="6">
                  <c:v>595.65502779944</c:v>
                </c:pt>
                <c:pt idx="7">
                  <c:v>743.098193768809</c:v>
                </c:pt>
                <c:pt idx="8">
                  <c:v>931.312665332184</c:v>
                </c:pt>
                <c:pt idx="9">
                  <c:v>1220.63047365416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"Closing cash"</c:f>
              <c:strCache>
                <c:ptCount val="1"/>
                <c:pt idx="0">
                  <c:v>Closing cash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'Cash Flow'!$C$4:$L$4</c:f>
              <c:multiLvlStrCache>
                <c:ptCount val="1"/>
                <c:lvl>
                  <c:pt idx="0">
                    <c:v>Year 10</c:v>
                  </c:pt>
                </c:lvl>
                <c:lvl>
                  <c:pt idx="0">
                    <c:v>Year 9</c:v>
                  </c:pt>
                </c:lvl>
                <c:lvl>
                  <c:pt idx="0">
                    <c:v>Year 8</c:v>
                  </c:pt>
                </c:lvl>
                <c:lvl>
                  <c:pt idx="0">
                    <c:v>Year 7</c:v>
                  </c:pt>
                </c:lvl>
                <c:lvl>
                  <c:pt idx="0">
                    <c:v>Year 6</c:v>
                  </c:pt>
                </c:lvl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'Cash Flow'!$C$25:$L$25</c:f>
              <c:numCache>
                <c:formatCode>#,##0;\(#,##0\);\-</c:formatCode>
                <c:ptCount val="10"/>
                <c:pt idx="0">
                  <c:v>825.748092158957</c:v>
                </c:pt>
                <c:pt idx="1">
                  <c:v>421.714714245198</c:v>
                </c:pt>
                <c:pt idx="2">
                  <c:v>157.938160745103</c:v>
                </c:pt>
                <c:pt idx="3">
                  <c:v>535.406815001803</c:v>
                </c:pt>
                <c:pt idx="4">
                  <c:v>1104.5678411951</c:v>
                </c:pt>
                <c:pt idx="5">
                  <c:v>1935.36931491817</c:v>
                </c:pt>
                <c:pt idx="6">
                  <c:v>2531.02434271761</c:v>
                </c:pt>
                <c:pt idx="7">
                  <c:v>3274.12253648642</c:v>
                </c:pt>
                <c:pt idx="8">
                  <c:v>4205.4352018186</c:v>
                </c:pt>
                <c:pt idx="9">
                  <c:v>5426.06567547277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1159196"/>
        <c:axId val="32572283"/>
      </c:lineChart>
      <c:catAx>
        <c:axId val="5115919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Operating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2572283"/>
        <c:crosses val="autoZero"/>
        <c:auto val="1"/>
        <c:lblAlgn val="ctr"/>
        <c:lblOffset val="100"/>
        <c:noMultiLvlLbl val="0"/>
      </c:catAx>
      <c:valAx>
        <c:axId val="325722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Rs Lakh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115919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Deleveraging — term loan outstanding and net debt / EBITDA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"Term loan outstanding"</c:f>
              <c:strCache>
                <c:ptCount val="1"/>
                <c:pt idx="0">
                  <c:v>Term loan outstanding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'Balance Sheet'!$C$4:$L$4</c:f>
              <c:multiLvlStrCache>
                <c:ptCount val="1"/>
                <c:lvl>
                  <c:pt idx="0">
                    <c:v>Year 10</c:v>
                  </c:pt>
                </c:lvl>
                <c:lvl>
                  <c:pt idx="0">
                    <c:v>Year 9</c:v>
                  </c:pt>
                </c:lvl>
                <c:lvl>
                  <c:pt idx="0">
                    <c:v>Year 8</c:v>
                  </c:pt>
                </c:lvl>
                <c:lvl>
                  <c:pt idx="0">
                    <c:v>Year 7</c:v>
                  </c:pt>
                </c:lvl>
                <c:lvl>
                  <c:pt idx="0">
                    <c:v>Year 6</c:v>
                  </c:pt>
                </c:lvl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'Balance Sheet'!$C$13:$L$13</c:f>
              <c:numCache>
                <c:formatCode>#,##0;\(#,##0\);\-</c:formatCode>
                <c:ptCount val="10"/>
                <c:pt idx="0">
                  <c:v>7754.25572682439</c:v>
                </c:pt>
                <c:pt idx="1">
                  <c:v>7754.25572682439</c:v>
                </c:pt>
                <c:pt idx="2">
                  <c:v>7754.25572682439</c:v>
                </c:pt>
                <c:pt idx="3">
                  <c:v>7289.00038321492</c:v>
                </c:pt>
                <c:pt idx="4">
                  <c:v>6513.57481053248</c:v>
                </c:pt>
                <c:pt idx="5">
                  <c:v>5505.52156604531</c:v>
                </c:pt>
                <c:pt idx="6">
                  <c:v>4342.38320702166</c:v>
                </c:pt>
                <c:pt idx="7">
                  <c:v>3024.15973346151</c:v>
                </c:pt>
                <c:pt idx="8">
                  <c:v>1550.85114536488</c:v>
                </c:pt>
                <c:pt idx="9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"Net debt"</c:f>
              <c:strCache>
                <c:ptCount val="1"/>
                <c:pt idx="0">
                  <c:v>Net debt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'Balance Sheet'!$C$4:$L$4</c:f>
              <c:multiLvlStrCache>
                <c:ptCount val="1"/>
                <c:lvl>
                  <c:pt idx="0">
                    <c:v>Year 10</c:v>
                  </c:pt>
                </c:lvl>
                <c:lvl>
                  <c:pt idx="0">
                    <c:v>Year 9</c:v>
                  </c:pt>
                </c:lvl>
                <c:lvl>
                  <c:pt idx="0">
                    <c:v>Year 8</c:v>
                  </c:pt>
                </c:lvl>
                <c:lvl>
                  <c:pt idx="0">
                    <c:v>Year 7</c:v>
                  </c:pt>
                </c:lvl>
                <c:lvl>
                  <c:pt idx="0">
                    <c:v>Year 6</c:v>
                  </c:pt>
                </c:lvl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'Balance Sheet'!$C$42:$L$42</c:f>
              <c:numCache>
                <c:formatCode>#,##0;\(#,##0\);\-</c:formatCode>
                <c:ptCount val="10"/>
                <c:pt idx="0">
                  <c:v>7243.50763466543</c:v>
                </c:pt>
                <c:pt idx="1">
                  <c:v>7827.54101257919</c:v>
                </c:pt>
                <c:pt idx="2">
                  <c:v>8226.31756607928</c:v>
                </c:pt>
                <c:pt idx="3">
                  <c:v>7428.59356821312</c:v>
                </c:pt>
                <c:pt idx="4">
                  <c:v>6129.00696933738</c:v>
                </c:pt>
                <c:pt idx="5">
                  <c:v>4290.15225112715</c:v>
                </c:pt>
                <c:pt idx="6">
                  <c:v>2531.35886430405</c:v>
                </c:pt>
                <c:pt idx="7">
                  <c:v>470.037196975091</c:v>
                </c:pt>
                <c:pt idx="8">
                  <c:v>-1934.58405645372</c:v>
                </c:pt>
                <c:pt idx="9">
                  <c:v>-4706.06567547277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7236165"/>
        <c:axId val="67118964"/>
      </c:lineChart>
      <c:catAx>
        <c:axId val="2723616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Operating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7118964"/>
        <c:crosses val="autoZero"/>
        <c:auto val="1"/>
        <c:lblAlgn val="ctr"/>
        <c:lblOffset val="100"/>
        <c:noMultiLvlLbl val="0"/>
      </c:catAx>
      <c:valAx>
        <c:axId val="6711896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Rs Lakh / x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723616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Returns on capital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"ROCE"</c:f>
              <c:strCache>
                <c:ptCount val="1"/>
                <c:pt idx="0">
                  <c:v>ROCE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'Unit Economics'!$C$4:$L$4</c:f>
              <c:multiLvlStrCache>
                <c:ptCount val="1"/>
                <c:lvl>
                  <c:pt idx="0">
                    <c:v>Year 10</c:v>
                  </c:pt>
                </c:lvl>
                <c:lvl>
                  <c:pt idx="0">
                    <c:v>Year 9</c:v>
                  </c:pt>
                </c:lvl>
                <c:lvl>
                  <c:pt idx="0">
                    <c:v>Year 8</c:v>
                  </c:pt>
                </c:lvl>
                <c:lvl>
                  <c:pt idx="0">
                    <c:v>Year 7</c:v>
                  </c:pt>
                </c:lvl>
                <c:lvl>
                  <c:pt idx="0">
                    <c:v>Year 6</c:v>
                  </c:pt>
                </c:lvl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'Unit Economics'!$C$29:$L$29</c:f>
              <c:numCache>
                <c:formatCode>0.0%;\(0.0%\);\-</c:formatCode>
                <c:ptCount val="10"/>
                <c:pt idx="0">
                  <c:v>-0.0891083150724224</c:v>
                </c:pt>
                <c:pt idx="1">
                  <c:v>-0.00924363920498618</c:v>
                </c:pt>
                <c:pt idx="2">
                  <c:v>0.0725090303368269</c:v>
                </c:pt>
                <c:pt idx="3">
                  <c:v>0.130010195322582</c:v>
                </c:pt>
                <c:pt idx="4">
                  <c:v>0.167505974388749</c:v>
                </c:pt>
                <c:pt idx="5">
                  <c:v>0.204424515997826</c:v>
                </c:pt>
                <c:pt idx="6">
                  <c:v>0.225863664151063</c:v>
                </c:pt>
                <c:pt idx="7">
                  <c:v>0.238806146922229</c:v>
                </c:pt>
                <c:pt idx="8">
                  <c:v>0.250950305421134</c:v>
                </c:pt>
                <c:pt idx="9">
                  <c:v>0.257150765104352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"ROE"</c:f>
              <c:strCache>
                <c:ptCount val="1"/>
                <c:pt idx="0">
                  <c:v>ROE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'Unit Economics'!$C$4:$L$4</c:f>
              <c:multiLvlStrCache>
                <c:ptCount val="1"/>
                <c:lvl>
                  <c:pt idx="0">
                    <c:v>Year 10</c:v>
                  </c:pt>
                </c:lvl>
                <c:lvl>
                  <c:pt idx="0">
                    <c:v>Year 9</c:v>
                  </c:pt>
                </c:lvl>
                <c:lvl>
                  <c:pt idx="0">
                    <c:v>Year 8</c:v>
                  </c:pt>
                </c:lvl>
                <c:lvl>
                  <c:pt idx="0">
                    <c:v>Year 7</c:v>
                  </c:pt>
                </c:lvl>
                <c:lvl>
                  <c:pt idx="0">
                    <c:v>Year 6</c:v>
                  </c:pt>
                </c:lvl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'Unit Economics'!$C$30:$L$30</c:f>
              <c:numCache>
                <c:formatCode>0.0%;\(0.0%\);\-</c:formatCode>
                <c:ptCount val="10"/>
                <c:pt idx="0">
                  <c:v>-0.592597624779075</c:v>
                </c:pt>
                <c:pt idx="1">
                  <c:v>-0.454989716051706</c:v>
                </c:pt>
                <c:pt idx="2">
                  <c:v>-0.0752828992188248</c:v>
                </c:pt>
                <c:pt idx="3">
                  <c:v>0.189932039111649</c:v>
                </c:pt>
                <c:pt idx="4">
                  <c:v>0.279486346917668</c:v>
                </c:pt>
                <c:pt idx="5">
                  <c:v>0.312534019304157</c:v>
                </c:pt>
                <c:pt idx="6">
                  <c:v>0.229923419698544</c:v>
                </c:pt>
                <c:pt idx="7">
                  <c:v>0.216034164972576</c:v>
                </c:pt>
                <c:pt idx="8">
                  <c:v>0.205021416024374</c:v>
                </c:pt>
                <c:pt idx="9">
                  <c:v>0.193525275520348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5169467"/>
        <c:axId val="67768190"/>
      </c:lineChart>
      <c:catAx>
        <c:axId val="2516946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Operating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7768190"/>
        <c:crosses val="autoZero"/>
        <c:auto val="1"/>
        <c:lblAlgn val="ctr"/>
        <c:lblOffset val="100"/>
        <c:noMultiLvlLbl val="0"/>
      </c:catAx>
      <c:valAx>
        <c:axId val="677681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516946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Working capital and receivables (Rs Lakh)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"Trade receivables"</c:f>
              <c:strCache>
                <c:ptCount val="1"/>
                <c:pt idx="0">
                  <c:v>Trade receivables</c:v>
                </c:pt>
              </c:strCache>
            </c:strRef>
          </c:tx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'Working Capital'!$C$4:$L$4</c:f>
              <c:multiLvlStrCache>
                <c:ptCount val="1"/>
                <c:lvl>
                  <c:pt idx="0">
                    <c:v>Year 10</c:v>
                  </c:pt>
                </c:lvl>
                <c:lvl>
                  <c:pt idx="0">
                    <c:v>Year 9</c:v>
                  </c:pt>
                </c:lvl>
                <c:lvl>
                  <c:pt idx="0">
                    <c:v>Year 8</c:v>
                  </c:pt>
                </c:lvl>
                <c:lvl>
                  <c:pt idx="0">
                    <c:v>Year 7</c:v>
                  </c:pt>
                </c:lvl>
                <c:lvl>
                  <c:pt idx="0">
                    <c:v>Year 6</c:v>
                  </c:pt>
                </c:lvl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'Working Capital'!$C$8:$L$8</c:f>
              <c:numCache>
                <c:formatCode>#,##0;\(#,##0\);\-</c:formatCode>
                <c:ptCount val="10"/>
                <c:pt idx="0">
                  <c:v>395.859627941918</c:v>
                </c:pt>
                <c:pt idx="1">
                  <c:v>671.616008234932</c:v>
                </c:pt>
                <c:pt idx="2">
                  <c:v>946.503966960422</c:v>
                </c:pt>
                <c:pt idx="3">
                  <c:v>1166.59532241655</c:v>
                </c:pt>
                <c:pt idx="4">
                  <c:v>1371.43026412109</c:v>
                </c:pt>
                <c:pt idx="5">
                  <c:v>1526.78705687802</c:v>
                </c:pt>
                <c:pt idx="6">
                  <c:v>1655.620288131</c:v>
                </c:pt>
                <c:pt idx="7">
                  <c:v>1785.53052314568</c:v>
                </c:pt>
                <c:pt idx="8">
                  <c:v>1929.04146716255</c:v>
                </c:pt>
                <c:pt idx="9">
                  <c:v>2079.69220625597</c:v>
                </c:pt>
              </c:numCache>
            </c:numRef>
          </c:val>
        </c:ser>
        <c:ser>
          <c:idx val="1"/>
          <c:order val="1"/>
          <c:tx>
            <c:strRef>
              <c:f>"Net working capital"</c:f>
              <c:strCache>
                <c:ptCount val="1"/>
                <c:pt idx="0">
                  <c:v>Net working capital</c:v>
                </c:pt>
              </c:strCache>
            </c:strRef>
          </c:tx>
          <c:spPr>
            <a:solidFill>
              <a:srgbClr val="C0504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'Working Capital'!$C$4:$L$4</c:f>
              <c:multiLvlStrCache>
                <c:ptCount val="1"/>
                <c:lvl>
                  <c:pt idx="0">
                    <c:v>Year 10</c:v>
                  </c:pt>
                </c:lvl>
                <c:lvl>
                  <c:pt idx="0">
                    <c:v>Year 9</c:v>
                  </c:pt>
                </c:lvl>
                <c:lvl>
                  <c:pt idx="0">
                    <c:v>Year 8</c:v>
                  </c:pt>
                </c:lvl>
                <c:lvl>
                  <c:pt idx="0">
                    <c:v>Year 7</c:v>
                  </c:pt>
                </c:lvl>
                <c:lvl>
                  <c:pt idx="0">
                    <c:v>Year 6</c:v>
                  </c:pt>
                </c:lvl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'Working Capital'!$C$19:$L$19</c:f>
              <c:numCache>
                <c:formatCode>#,##0;\(#,##0\);\-</c:formatCode>
                <c:ptCount val="10"/>
                <c:pt idx="0">
                  <c:v>285.541251179178</c:v>
                </c:pt>
                <c:pt idx="1">
                  <c:v>496.639300999315</c:v>
                </c:pt>
                <c:pt idx="2">
                  <c:v>704.595152232188</c:v>
                </c:pt>
                <c:pt idx="3">
                  <c:v>871.71725008495</c:v>
                </c:pt>
                <c:pt idx="4">
                  <c:v>1016.47611999924</c:v>
                </c:pt>
                <c:pt idx="5">
                  <c:v>1134.40698785287</c:v>
                </c:pt>
                <c:pt idx="6">
                  <c:v>1231.67768840361</c:v>
                </c:pt>
                <c:pt idx="7">
                  <c:v>1329.78730637875</c:v>
                </c:pt>
                <c:pt idx="8">
                  <c:v>1438.49101155372</c:v>
                </c:pt>
                <c:pt idx="9">
                  <c:v>1552.75616294577</c:v>
                </c:pt>
              </c:numCache>
            </c:numRef>
          </c:val>
        </c:ser>
        <c:gapWidth val="150"/>
        <c:overlap val="0"/>
        <c:axId val="9184883"/>
        <c:axId val="86432727"/>
      </c:barChart>
      <c:catAx>
        <c:axId val="918488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Operating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6432727"/>
        <c:crosses val="autoZero"/>
        <c:auto val="1"/>
        <c:lblAlgn val="ctr"/>
        <c:lblOffset val="100"/>
        <c:noMultiLvlLbl val="0"/>
      </c:catAx>
      <c:valAx>
        <c:axId val="864327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Rs Lakh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18488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8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9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0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Relationship Id="rId4" Type="http://schemas.openxmlformats.org/officeDocument/2006/relationships/chart" Target="../charts/chart7.xml"/><Relationship Id="rId5" Type="http://schemas.openxmlformats.org/officeDocument/2006/relationships/chart" Target="../charts/chart8.xml"/><Relationship Id="rId6" Type="http://schemas.openxmlformats.org/officeDocument/2006/relationships/chart" Target="../charts/chart9.xml"/><Relationship Id="rId7" Type="http://schemas.openxmlformats.org/officeDocument/2006/relationships/chart" Target="../charts/chart10.xml"/><Relationship Id="rId8" Type="http://schemas.openxmlformats.org/officeDocument/2006/relationships/chart" Target="../charts/chart11.xml"/><Relationship Id="rId9" Type="http://schemas.openxmlformats.org/officeDocument/2006/relationships/chart" Target="../charts/chart12.xml"/><Relationship Id="rId10" Type="http://schemas.openxmlformats.org/officeDocument/2006/relationships/chart" Target="../charts/chart1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8</xdr:row>
      <xdr:rowOff>0</xdr:rowOff>
    </xdr:from>
    <xdr:to>
      <xdr:col>15</xdr:col>
      <xdr:colOff>518760</xdr:colOff>
      <xdr:row>29</xdr:row>
      <xdr:rowOff>157320</xdr:rowOff>
    </xdr:to>
    <xdr:graphicFrame>
      <xdr:nvGraphicFramePr>
        <xdr:cNvPr id="1" name="Chart 1"/>
        <xdr:cNvGraphicFramePr/>
      </xdr:nvGraphicFramePr>
      <xdr:xfrm>
        <a:off x="9163080" y="180036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49</xdr:row>
      <xdr:rowOff>0</xdr:rowOff>
    </xdr:from>
    <xdr:to>
      <xdr:col>12</xdr:col>
      <xdr:colOff>463320</xdr:colOff>
      <xdr:row>67</xdr:row>
      <xdr:rowOff>170640</xdr:rowOff>
    </xdr:to>
    <xdr:graphicFrame>
      <xdr:nvGraphicFramePr>
        <xdr:cNvPr id="2" name="Chart 1"/>
        <xdr:cNvGraphicFramePr/>
      </xdr:nvGraphicFramePr>
      <xdr:xfrm>
        <a:off x="6766560" y="9772560"/>
        <a:ext cx="86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75</xdr:row>
      <xdr:rowOff>0</xdr:rowOff>
    </xdr:from>
    <xdr:to>
      <xdr:col>12</xdr:col>
      <xdr:colOff>463320</xdr:colOff>
      <xdr:row>93</xdr:row>
      <xdr:rowOff>170640</xdr:rowOff>
    </xdr:to>
    <xdr:graphicFrame>
      <xdr:nvGraphicFramePr>
        <xdr:cNvPr id="3" name="Chart 2"/>
        <xdr:cNvGraphicFramePr/>
      </xdr:nvGraphicFramePr>
      <xdr:xfrm>
        <a:off x="6766560" y="14725800"/>
        <a:ext cx="86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</xdr:row>
      <xdr:rowOff>0</xdr:rowOff>
    </xdr:from>
    <xdr:to>
      <xdr:col>7</xdr:col>
      <xdr:colOff>236880</xdr:colOff>
      <xdr:row>20</xdr:row>
      <xdr:rowOff>1080</xdr:rowOff>
    </xdr:to>
    <xdr:graphicFrame>
      <xdr:nvGraphicFramePr>
        <xdr:cNvPr id="4" name="Chart 1"/>
        <xdr:cNvGraphicFramePr/>
      </xdr:nvGraphicFramePr>
      <xdr:xfrm>
        <a:off x="0" y="685800"/>
        <a:ext cx="68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3</xdr:row>
      <xdr:rowOff>0</xdr:rowOff>
    </xdr:from>
    <xdr:to>
      <xdr:col>19</xdr:col>
      <xdr:colOff>423720</xdr:colOff>
      <xdr:row>20</xdr:row>
      <xdr:rowOff>1080</xdr:rowOff>
    </xdr:to>
    <xdr:graphicFrame>
      <xdr:nvGraphicFramePr>
        <xdr:cNvPr id="5" name="Chart 2"/>
        <xdr:cNvGraphicFramePr/>
      </xdr:nvGraphicFramePr>
      <xdr:xfrm>
        <a:off x="10267920" y="685800"/>
        <a:ext cx="68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23</xdr:row>
      <xdr:rowOff>0</xdr:rowOff>
    </xdr:from>
    <xdr:to>
      <xdr:col>7</xdr:col>
      <xdr:colOff>236880</xdr:colOff>
      <xdr:row>40</xdr:row>
      <xdr:rowOff>1080</xdr:rowOff>
    </xdr:to>
    <xdr:graphicFrame>
      <xdr:nvGraphicFramePr>
        <xdr:cNvPr id="6" name="Chart 3"/>
        <xdr:cNvGraphicFramePr/>
      </xdr:nvGraphicFramePr>
      <xdr:xfrm>
        <a:off x="0" y="4495680"/>
        <a:ext cx="68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0</xdr:colOff>
      <xdr:row>23</xdr:row>
      <xdr:rowOff>0</xdr:rowOff>
    </xdr:from>
    <xdr:to>
      <xdr:col>19</xdr:col>
      <xdr:colOff>423720</xdr:colOff>
      <xdr:row>40</xdr:row>
      <xdr:rowOff>1080</xdr:rowOff>
    </xdr:to>
    <xdr:graphicFrame>
      <xdr:nvGraphicFramePr>
        <xdr:cNvPr id="7" name="Chart 4"/>
        <xdr:cNvGraphicFramePr/>
      </xdr:nvGraphicFramePr>
      <xdr:xfrm>
        <a:off x="10267920" y="4495680"/>
        <a:ext cx="68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43</xdr:row>
      <xdr:rowOff>0</xdr:rowOff>
    </xdr:from>
    <xdr:to>
      <xdr:col>7</xdr:col>
      <xdr:colOff>236880</xdr:colOff>
      <xdr:row>60</xdr:row>
      <xdr:rowOff>1080</xdr:rowOff>
    </xdr:to>
    <xdr:graphicFrame>
      <xdr:nvGraphicFramePr>
        <xdr:cNvPr id="8" name="Chart 5"/>
        <xdr:cNvGraphicFramePr/>
      </xdr:nvGraphicFramePr>
      <xdr:xfrm>
        <a:off x="0" y="8305920"/>
        <a:ext cx="68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11</xdr:col>
      <xdr:colOff>0</xdr:colOff>
      <xdr:row>43</xdr:row>
      <xdr:rowOff>0</xdr:rowOff>
    </xdr:from>
    <xdr:to>
      <xdr:col>19</xdr:col>
      <xdr:colOff>423720</xdr:colOff>
      <xdr:row>60</xdr:row>
      <xdr:rowOff>1080</xdr:rowOff>
    </xdr:to>
    <xdr:graphicFrame>
      <xdr:nvGraphicFramePr>
        <xdr:cNvPr id="9" name="Chart 6"/>
        <xdr:cNvGraphicFramePr/>
      </xdr:nvGraphicFramePr>
      <xdr:xfrm>
        <a:off x="10267920" y="8305920"/>
        <a:ext cx="68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63</xdr:row>
      <xdr:rowOff>0</xdr:rowOff>
    </xdr:from>
    <xdr:to>
      <xdr:col>7</xdr:col>
      <xdr:colOff>236880</xdr:colOff>
      <xdr:row>80</xdr:row>
      <xdr:rowOff>1080</xdr:rowOff>
    </xdr:to>
    <xdr:graphicFrame>
      <xdr:nvGraphicFramePr>
        <xdr:cNvPr id="10" name="Chart 7"/>
        <xdr:cNvGraphicFramePr/>
      </xdr:nvGraphicFramePr>
      <xdr:xfrm>
        <a:off x="0" y="12115800"/>
        <a:ext cx="68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11</xdr:col>
      <xdr:colOff>0</xdr:colOff>
      <xdr:row>63</xdr:row>
      <xdr:rowOff>0</xdr:rowOff>
    </xdr:from>
    <xdr:to>
      <xdr:col>19</xdr:col>
      <xdr:colOff>423720</xdr:colOff>
      <xdr:row>80</xdr:row>
      <xdr:rowOff>1080</xdr:rowOff>
    </xdr:to>
    <xdr:graphicFrame>
      <xdr:nvGraphicFramePr>
        <xdr:cNvPr id="11" name="Chart 8"/>
        <xdr:cNvGraphicFramePr/>
      </xdr:nvGraphicFramePr>
      <xdr:xfrm>
        <a:off x="10267920" y="12115800"/>
        <a:ext cx="68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0</xdr:colOff>
      <xdr:row>83</xdr:row>
      <xdr:rowOff>0</xdr:rowOff>
    </xdr:from>
    <xdr:to>
      <xdr:col>7</xdr:col>
      <xdr:colOff>236880</xdr:colOff>
      <xdr:row>100</xdr:row>
      <xdr:rowOff>1080</xdr:rowOff>
    </xdr:to>
    <xdr:graphicFrame>
      <xdr:nvGraphicFramePr>
        <xdr:cNvPr id="12" name="Chart 9"/>
        <xdr:cNvGraphicFramePr/>
      </xdr:nvGraphicFramePr>
      <xdr:xfrm>
        <a:off x="0" y="15925680"/>
        <a:ext cx="68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11</xdr:col>
      <xdr:colOff>0</xdr:colOff>
      <xdr:row>83</xdr:row>
      <xdr:rowOff>0</xdr:rowOff>
    </xdr:from>
    <xdr:to>
      <xdr:col>19</xdr:col>
      <xdr:colOff>423720</xdr:colOff>
      <xdr:row>100</xdr:row>
      <xdr:rowOff>1080</xdr:rowOff>
    </xdr:to>
    <xdr:graphicFrame>
      <xdr:nvGraphicFramePr>
        <xdr:cNvPr id="13" name="Chart 10"/>
        <xdr:cNvGraphicFramePr/>
      </xdr:nvGraphicFramePr>
      <xdr:xfrm>
        <a:off x="10267920" y="15925680"/>
        <a:ext cx="68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G7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6"/>
    <col collapsed="false" customWidth="true" hidden="false" outlineLevel="0" max="3" min="3" style="0" width="60"/>
    <col collapsed="false" customWidth="true" hidden="false" outlineLevel="0" max="16" min="4" style="0" width="13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</row>
    <row r="2" customFormat="false" ht="24.45" hidden="false" customHeight="false" outlineLevel="0" collapsed="false">
      <c r="A2" s="1"/>
      <c r="B2" s="2" t="s">
        <v>0</v>
      </c>
      <c r="C2" s="1"/>
      <c r="D2" s="1"/>
      <c r="E2" s="1"/>
      <c r="F2" s="1"/>
      <c r="G2" s="1"/>
    </row>
    <row r="3" customFormat="false" ht="15" hidden="false" customHeight="false" outlineLevel="0" collapsed="false">
      <c r="A3" s="1"/>
      <c r="B3" s="3" t="s">
        <v>1</v>
      </c>
      <c r="C3" s="1"/>
      <c r="D3" s="1"/>
      <c r="E3" s="1"/>
      <c r="F3" s="1"/>
      <c r="G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</row>
    <row r="5" customFormat="false" ht="18.55" hidden="false" customHeight="false" outlineLevel="0" collapsed="false">
      <c r="B5" s="4" t="s">
        <v>2</v>
      </c>
    </row>
    <row r="6" customFormat="false" ht="15" hidden="false" customHeight="false" outlineLevel="0" collapsed="false">
      <c r="B6" s="5" t="s">
        <v>3</v>
      </c>
    </row>
    <row r="8" customFormat="false" ht="15" hidden="false" customHeight="false" outlineLevel="0" collapsed="false">
      <c r="B8" s="6" t="s">
        <v>4</v>
      </c>
      <c r="C8" s="7" t="s">
        <v>5</v>
      </c>
    </row>
    <row r="9" customFormat="false" ht="15" hidden="false" customHeight="false" outlineLevel="0" collapsed="false">
      <c r="B9" s="6" t="s">
        <v>6</v>
      </c>
      <c r="C9" s="7" t="s">
        <v>7</v>
      </c>
    </row>
    <row r="10" customFormat="false" ht="15" hidden="false" customHeight="false" outlineLevel="0" collapsed="false">
      <c r="B10" s="6" t="s">
        <v>8</v>
      </c>
      <c r="C10" s="7" t="s">
        <v>9</v>
      </c>
    </row>
    <row r="11" customFormat="false" ht="15" hidden="false" customHeight="false" outlineLevel="0" collapsed="false">
      <c r="B11" s="6" t="s">
        <v>10</v>
      </c>
      <c r="C11" s="7" t="s">
        <v>11</v>
      </c>
    </row>
    <row r="12" customFormat="false" ht="15" hidden="false" customHeight="false" outlineLevel="0" collapsed="false">
      <c r="B12" s="6" t="s">
        <v>12</v>
      </c>
      <c r="C12" s="7" t="s">
        <v>13</v>
      </c>
    </row>
    <row r="13" customFormat="false" ht="15" hidden="false" customHeight="false" outlineLevel="0" collapsed="false">
      <c r="B13" s="7"/>
      <c r="C13" s="7" t="s">
        <v>14</v>
      </c>
    </row>
    <row r="14" customFormat="false" ht="15" hidden="false" customHeight="false" outlineLevel="0" collapsed="false">
      <c r="B14" s="6" t="s">
        <v>15</v>
      </c>
      <c r="C14" s="7" t="s">
        <v>16</v>
      </c>
    </row>
    <row r="15" customFormat="false" ht="15" hidden="false" customHeight="false" outlineLevel="0" collapsed="false">
      <c r="B15" s="6" t="s">
        <v>17</v>
      </c>
      <c r="C15" s="7" t="s">
        <v>18</v>
      </c>
    </row>
    <row r="16" customFormat="false" ht="15" hidden="false" customHeight="false" outlineLevel="0" collapsed="false">
      <c r="B16" s="6" t="s">
        <v>19</v>
      </c>
      <c r="C16" s="7" t="s">
        <v>20</v>
      </c>
    </row>
    <row r="17" customFormat="false" ht="15" hidden="false" customHeight="false" outlineLevel="0" collapsed="false">
      <c r="B17" s="6" t="s">
        <v>21</v>
      </c>
      <c r="C17" s="7" t="s">
        <v>22</v>
      </c>
    </row>
    <row r="18" customFormat="false" ht="15" hidden="false" customHeight="false" outlineLevel="0" collapsed="false">
      <c r="B18" s="6" t="s">
        <v>23</v>
      </c>
      <c r="C18" s="7" t="s">
        <v>24</v>
      </c>
    </row>
    <row r="19" customFormat="false" ht="15" hidden="false" customHeight="false" outlineLevel="0" collapsed="false">
      <c r="B19" s="6" t="s">
        <v>25</v>
      </c>
      <c r="C19" s="7" t="s">
        <v>26</v>
      </c>
    </row>
    <row r="20" customFormat="false" ht="15" hidden="false" customHeight="false" outlineLevel="0" collapsed="false">
      <c r="B20" s="6" t="s">
        <v>27</v>
      </c>
      <c r="C20" s="7" t="s">
        <v>28</v>
      </c>
    </row>
    <row r="22" customFormat="false" ht="15" hidden="false" customHeight="false" outlineLevel="0" collapsed="false">
      <c r="B22" s="8" t="s">
        <v>29</v>
      </c>
      <c r="C22" s="9"/>
    </row>
    <row r="23" customFormat="false" ht="15" hidden="false" customHeight="false" outlineLevel="0" collapsed="false">
      <c r="B23" s="7" t="s">
        <v>30</v>
      </c>
      <c r="C23" s="6" t="s">
        <v>31</v>
      </c>
    </row>
    <row r="24" customFormat="false" ht="15" hidden="false" customHeight="false" outlineLevel="0" collapsed="false">
      <c r="B24" s="7" t="s">
        <v>32</v>
      </c>
      <c r="C24" s="6" t="s">
        <v>33</v>
      </c>
    </row>
    <row r="25" customFormat="false" ht="15" hidden="false" customHeight="false" outlineLevel="0" collapsed="false">
      <c r="B25" s="7" t="s">
        <v>34</v>
      </c>
      <c r="C25" s="6" t="s">
        <v>35</v>
      </c>
    </row>
    <row r="26" customFormat="false" ht="15" hidden="false" customHeight="false" outlineLevel="0" collapsed="false">
      <c r="B26" s="7" t="s">
        <v>36</v>
      </c>
      <c r="C26" s="6" t="s">
        <v>37</v>
      </c>
    </row>
    <row r="27" customFormat="false" ht="15" hidden="false" customHeight="false" outlineLevel="0" collapsed="false">
      <c r="B27" s="7" t="s">
        <v>38</v>
      </c>
      <c r="C27" s="6" t="s">
        <v>39</v>
      </c>
    </row>
    <row r="28" customFormat="false" ht="15" hidden="false" customHeight="false" outlineLevel="0" collapsed="false">
      <c r="B28" s="7" t="s">
        <v>40</v>
      </c>
      <c r="C28" s="6" t="s">
        <v>41</v>
      </c>
    </row>
    <row r="29" customFormat="false" ht="15" hidden="false" customHeight="false" outlineLevel="0" collapsed="false">
      <c r="B29" s="7" t="s">
        <v>42</v>
      </c>
      <c r="C29" s="6" t="s">
        <v>43</v>
      </c>
    </row>
    <row r="32" customFormat="false" ht="15" hidden="false" customHeight="false" outlineLevel="0" collapsed="false">
      <c r="B32" s="8" t="s">
        <v>44</v>
      </c>
      <c r="C32" s="9"/>
    </row>
    <row r="33" customFormat="false" ht="15" hidden="false" customHeight="false" outlineLevel="0" collapsed="false">
      <c r="B33" s="10" t="s">
        <v>45</v>
      </c>
      <c r="C33" s="7" t="s">
        <v>46</v>
      </c>
    </row>
    <row r="34" customFormat="false" ht="15" hidden="false" customHeight="false" outlineLevel="0" collapsed="false">
      <c r="B34" s="7" t="s">
        <v>47</v>
      </c>
      <c r="C34" s="7" t="s">
        <v>48</v>
      </c>
    </row>
    <row r="35" customFormat="false" ht="15" hidden="false" customHeight="false" outlineLevel="0" collapsed="false">
      <c r="B35" s="11" t="s">
        <v>49</v>
      </c>
      <c r="C35" s="7" t="s">
        <v>50</v>
      </c>
    </row>
    <row r="37" customFormat="false" ht="15" hidden="false" customHeight="false" outlineLevel="0" collapsed="false">
      <c r="B37" s="8" t="s">
        <v>51</v>
      </c>
      <c r="C37" s="9"/>
    </row>
    <row r="38" customFormat="false" ht="15" hidden="false" customHeight="false" outlineLevel="0" collapsed="false">
      <c r="B38" s="12" t="s">
        <v>52</v>
      </c>
      <c r="C38" s="7" t="s">
        <v>53</v>
      </c>
    </row>
    <row r="39" customFormat="false" ht="15" hidden="false" customHeight="false" outlineLevel="0" collapsed="false">
      <c r="B39" s="12" t="s">
        <v>54</v>
      </c>
      <c r="C39" s="7" t="s">
        <v>55</v>
      </c>
    </row>
    <row r="40" customFormat="false" ht="15" hidden="false" customHeight="false" outlineLevel="0" collapsed="false">
      <c r="B40" s="12" t="s">
        <v>56</v>
      </c>
      <c r="C40" s="7" t="s">
        <v>57</v>
      </c>
    </row>
    <row r="41" customFormat="false" ht="15" hidden="false" customHeight="false" outlineLevel="0" collapsed="false">
      <c r="B41" s="12" t="s">
        <v>58</v>
      </c>
      <c r="C41" s="7" t="s">
        <v>59</v>
      </c>
    </row>
    <row r="42" customFormat="false" ht="15" hidden="false" customHeight="false" outlineLevel="0" collapsed="false">
      <c r="B42" s="12" t="s">
        <v>60</v>
      </c>
      <c r="C42" s="7" t="s">
        <v>61</v>
      </c>
    </row>
    <row r="43" customFormat="false" ht="15" hidden="false" customHeight="false" outlineLevel="0" collapsed="false">
      <c r="B43" s="12" t="s">
        <v>62</v>
      </c>
      <c r="C43" s="7" t="s">
        <v>63</v>
      </c>
    </row>
    <row r="44" customFormat="false" ht="15" hidden="false" customHeight="false" outlineLevel="0" collapsed="false">
      <c r="B44" s="12" t="s">
        <v>64</v>
      </c>
      <c r="C44" s="7" t="s">
        <v>65</v>
      </c>
    </row>
    <row r="45" customFormat="false" ht="15" hidden="false" customHeight="false" outlineLevel="0" collapsed="false">
      <c r="B45" s="12" t="s">
        <v>66</v>
      </c>
      <c r="C45" s="7" t="s">
        <v>67</v>
      </c>
    </row>
    <row r="46" customFormat="false" ht="15" hidden="false" customHeight="false" outlineLevel="0" collapsed="false">
      <c r="B46" s="12" t="s">
        <v>68</v>
      </c>
      <c r="C46" s="7" t="s">
        <v>69</v>
      </c>
    </row>
    <row r="47" customFormat="false" ht="15" hidden="false" customHeight="false" outlineLevel="0" collapsed="false">
      <c r="B47" s="12" t="s">
        <v>70</v>
      </c>
      <c r="C47" s="7" t="s">
        <v>71</v>
      </c>
    </row>
    <row r="48" customFormat="false" ht="15" hidden="false" customHeight="false" outlineLevel="0" collapsed="false">
      <c r="B48" s="12" t="s">
        <v>72</v>
      </c>
      <c r="C48" s="7" t="s">
        <v>73</v>
      </c>
    </row>
    <row r="49" customFormat="false" ht="15" hidden="false" customHeight="false" outlineLevel="0" collapsed="false">
      <c r="B49" s="12" t="s">
        <v>74</v>
      </c>
      <c r="C49" s="7" t="s">
        <v>75</v>
      </c>
    </row>
    <row r="50" customFormat="false" ht="15" hidden="false" customHeight="false" outlineLevel="0" collapsed="false">
      <c r="B50" s="12" t="s">
        <v>76</v>
      </c>
      <c r="C50" s="7" t="s">
        <v>77</v>
      </c>
    </row>
    <row r="51" customFormat="false" ht="15" hidden="false" customHeight="false" outlineLevel="0" collapsed="false">
      <c r="B51" s="12" t="s">
        <v>78</v>
      </c>
      <c r="C51" s="7" t="s">
        <v>79</v>
      </c>
    </row>
    <row r="52" customFormat="false" ht="15" hidden="false" customHeight="false" outlineLevel="0" collapsed="false">
      <c r="B52" s="12" t="s">
        <v>80</v>
      </c>
      <c r="C52" s="7" t="s">
        <v>81</v>
      </c>
    </row>
    <row r="53" customFormat="false" ht="15" hidden="false" customHeight="false" outlineLevel="0" collapsed="false">
      <c r="B53" s="12" t="s">
        <v>82</v>
      </c>
      <c r="C53" s="7" t="s">
        <v>83</v>
      </c>
    </row>
    <row r="54" customFormat="false" ht="15" hidden="false" customHeight="false" outlineLevel="0" collapsed="false">
      <c r="B54" s="12" t="s">
        <v>84</v>
      </c>
      <c r="C54" s="7" t="s">
        <v>85</v>
      </c>
    </row>
    <row r="55" customFormat="false" ht="15" hidden="false" customHeight="false" outlineLevel="0" collapsed="false">
      <c r="B55" s="12" t="s">
        <v>86</v>
      </c>
      <c r="C55" s="7" t="s">
        <v>87</v>
      </c>
    </row>
    <row r="56" customFormat="false" ht="15" hidden="false" customHeight="false" outlineLevel="0" collapsed="false">
      <c r="B56" s="12" t="s">
        <v>88</v>
      </c>
      <c r="C56" s="7" t="s">
        <v>89</v>
      </c>
    </row>
    <row r="57" customFormat="false" ht="15" hidden="false" customHeight="false" outlineLevel="0" collapsed="false">
      <c r="B57" s="12" t="s">
        <v>90</v>
      </c>
      <c r="C57" s="7" t="s">
        <v>91</v>
      </c>
    </row>
    <row r="58" customFormat="false" ht="15" hidden="false" customHeight="false" outlineLevel="0" collapsed="false">
      <c r="B58" s="12" t="s">
        <v>92</v>
      </c>
      <c r="C58" s="7" t="s">
        <v>93</v>
      </c>
    </row>
    <row r="59" customFormat="false" ht="15" hidden="false" customHeight="false" outlineLevel="0" collapsed="false">
      <c r="B59" s="12" t="s">
        <v>94</v>
      </c>
      <c r="C59" s="7" t="s">
        <v>95</v>
      </c>
    </row>
    <row r="60" customFormat="false" ht="15" hidden="false" customHeight="false" outlineLevel="0" collapsed="false">
      <c r="B60" s="12" t="s">
        <v>96</v>
      </c>
      <c r="C60" s="7" t="s">
        <v>97</v>
      </c>
    </row>
    <row r="61" customFormat="false" ht="15" hidden="false" customHeight="false" outlineLevel="0" collapsed="false">
      <c r="B61" s="12" t="s">
        <v>98</v>
      </c>
      <c r="C61" s="7" t="s">
        <v>99</v>
      </c>
    </row>
    <row r="62" customFormat="false" ht="15" hidden="false" customHeight="false" outlineLevel="0" collapsed="false">
      <c r="B62" s="12" t="s">
        <v>100</v>
      </c>
      <c r="C62" s="7" t="s">
        <v>101</v>
      </c>
    </row>
    <row r="63" customFormat="false" ht="15" hidden="false" customHeight="false" outlineLevel="0" collapsed="false">
      <c r="B63" s="12" t="s">
        <v>102</v>
      </c>
      <c r="C63" s="7" t="s">
        <v>103</v>
      </c>
    </row>
    <row r="65" customFormat="false" ht="15" hidden="false" customHeight="false" outlineLevel="0" collapsed="false">
      <c r="B65" s="13" t="s">
        <v>104</v>
      </c>
    </row>
    <row r="66" customFormat="false" ht="15" hidden="false" customHeight="false" outlineLevel="0" collapsed="false">
      <c r="B66" s="14" t="s">
        <v>105</v>
      </c>
    </row>
    <row r="67" customFormat="false" ht="15" hidden="false" customHeight="false" outlineLevel="0" collapsed="false">
      <c r="B67" s="14" t="s">
        <v>106</v>
      </c>
    </row>
    <row r="68" customFormat="false" ht="15" hidden="false" customHeight="false" outlineLevel="0" collapsed="false">
      <c r="B68" s="14" t="s">
        <v>107</v>
      </c>
    </row>
    <row r="69" customFormat="false" ht="15" hidden="false" customHeight="false" outlineLevel="0" collapsed="false">
      <c r="B69" s="14" t="s">
        <v>108</v>
      </c>
    </row>
    <row r="70" customFormat="false" ht="15" hidden="false" customHeight="false" outlineLevel="0" collapsed="false">
      <c r="B70" s="14" t="s">
        <v>109</v>
      </c>
    </row>
    <row r="71" customFormat="false" ht="15" hidden="false" customHeight="false" outlineLevel="0" collapsed="false">
      <c r="B71" s="14" t="s">
        <v>110</v>
      </c>
    </row>
    <row r="72" customFormat="false" ht="15" hidden="false" customHeight="false" outlineLevel="0" collapsed="false">
      <c r="B72" s="14" t="s">
        <v>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O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5" min="2" style="0" width="13"/>
    <col collapsed="false" customWidth="true" hidden="false" outlineLevel="0" max="7" min="6" style="0" width="14"/>
    <col collapsed="false" customWidth="true" hidden="false" outlineLevel="0" max="8" min="8" style="0" width="3"/>
    <col collapsed="false" customWidth="true" hidden="false" outlineLevel="0" max="9" min="9" style="0" width="52"/>
    <col collapsed="false" customWidth="true" hidden="false" outlineLevel="0" max="16" min="10" style="0" width="13"/>
  </cols>
  <sheetData>
    <row r="1" customFormat="false" ht="24" hidden="false" customHeight="true" outlineLevel="0" collapsed="false">
      <c r="A1" s="15" t="s">
        <v>112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" hidden="false" customHeight="false" outlineLevel="0" collapsed="false">
      <c r="A2" s="16" t="s">
        <v>113</v>
      </c>
    </row>
    <row r="5" customFormat="false" ht="15" hidden="false" customHeight="false" outlineLevel="0" collapsed="false">
      <c r="A5" s="6" t="s">
        <v>114</v>
      </c>
      <c r="B5" s="17" t="n">
        <v>1</v>
      </c>
    </row>
    <row r="6" customFormat="false" ht="15" hidden="false" customHeight="false" outlineLevel="0" collapsed="false">
      <c r="A6" s="7" t="s">
        <v>115</v>
      </c>
      <c r="B6" s="18" t="str">
        <f aca="false">INDEX($C$16:$F$16,1,$B$5)</f>
        <v>Base</v>
      </c>
    </row>
    <row r="8" customFormat="false" ht="15" hidden="false" customHeight="false" outlineLevel="0" collapsed="false">
      <c r="A8" s="6" t="s">
        <v>116</v>
      </c>
      <c r="B8" s="17" t="n">
        <v>1</v>
      </c>
    </row>
    <row r="9" customFormat="false" ht="15" hidden="false" customHeight="false" outlineLevel="0" collapsed="false">
      <c r="A9" s="7" t="s">
        <v>117</v>
      </c>
      <c r="B9" s="18" t="str">
        <f aca="false">INDEX($C$32:$E$32,1,$B$8)</f>
        <v>Opt 1: 70:30</v>
      </c>
    </row>
    <row r="11" customFormat="false" ht="15" hidden="false" customHeight="false" outlineLevel="0" collapsed="false">
      <c r="A11" s="6" t="s">
        <v>118</v>
      </c>
      <c r="B11" s="17" t="n">
        <v>1</v>
      </c>
    </row>
    <row r="12" customFormat="false" ht="15" hidden="false" customHeight="false" outlineLevel="0" collapsed="false">
      <c r="A12" s="7" t="s">
        <v>119</v>
      </c>
      <c r="B12" s="18" t="str">
        <f aca="false">INDEX($B$40:$D$40,1,$B$11)</f>
        <v>Blended</v>
      </c>
    </row>
    <row r="15" customFormat="false" ht="15" hidden="false" customHeight="false" outlineLevel="0" collapsed="false">
      <c r="A15" s="19" t="s">
        <v>120</v>
      </c>
      <c r="B15" s="20"/>
      <c r="C15" s="20"/>
      <c r="D15" s="20"/>
      <c r="E15" s="20"/>
      <c r="F15" s="20"/>
      <c r="G15" s="20"/>
    </row>
    <row r="16" customFormat="false" ht="27.75" hidden="false" customHeight="true" outlineLevel="0" collapsed="false">
      <c r="A16" s="21" t="s">
        <v>121</v>
      </c>
      <c r="B16" s="21" t="s">
        <v>122</v>
      </c>
      <c r="C16" s="21" t="s">
        <v>123</v>
      </c>
      <c r="D16" s="21" t="s">
        <v>124</v>
      </c>
      <c r="E16" s="21" t="s">
        <v>125</v>
      </c>
      <c r="F16" s="21" t="s">
        <v>126</v>
      </c>
      <c r="G16" s="21" t="s">
        <v>127</v>
      </c>
    </row>
    <row r="17" customFormat="false" ht="15" hidden="false" customHeight="false" outlineLevel="0" collapsed="false">
      <c r="A17" s="22" t="s">
        <v>128</v>
      </c>
      <c r="B17" s="23" t="s">
        <v>129</v>
      </c>
      <c r="C17" s="24" t="n">
        <v>0.72</v>
      </c>
      <c r="D17" s="24" t="n">
        <v>0.78</v>
      </c>
      <c r="E17" s="24" t="n">
        <v>0.64</v>
      </c>
      <c r="F17" s="24" t="n">
        <v>0.58</v>
      </c>
      <c r="G17" s="25" t="n">
        <f aca="false">INDEX($C17:$F17,1,$B$5)</f>
        <v>0.72</v>
      </c>
      <c r="I17" s="14" t="s">
        <v>130</v>
      </c>
    </row>
    <row r="18" customFormat="false" ht="15" hidden="false" customHeight="false" outlineLevel="0" collapsed="false">
      <c r="A18" s="22" t="s">
        <v>131</v>
      </c>
      <c r="B18" s="23" t="s">
        <v>132</v>
      </c>
      <c r="C18" s="26" t="n">
        <v>1</v>
      </c>
      <c r="D18" s="26" t="n">
        <v>1.1</v>
      </c>
      <c r="E18" s="26" t="n">
        <v>0.88</v>
      </c>
      <c r="F18" s="26" t="n">
        <v>0.78</v>
      </c>
      <c r="G18" s="27" t="n">
        <f aca="false">INDEX($C18:$F18,1,$B$5)</f>
        <v>1</v>
      </c>
      <c r="I18" s="14" t="s">
        <v>133</v>
      </c>
    </row>
    <row r="19" customFormat="false" ht="15" hidden="false" customHeight="false" outlineLevel="0" collapsed="false">
      <c r="A19" s="22" t="s">
        <v>134</v>
      </c>
      <c r="B19" s="23" t="s">
        <v>135</v>
      </c>
      <c r="C19" s="28" t="n">
        <v>26500</v>
      </c>
      <c r="D19" s="28" t="n">
        <v>28500</v>
      </c>
      <c r="E19" s="28" t="n">
        <v>24000</v>
      </c>
      <c r="F19" s="28" t="n">
        <v>22500</v>
      </c>
      <c r="G19" s="29" t="n">
        <f aca="false">INDEX($C19:$F19,1,$B$5)</f>
        <v>26500</v>
      </c>
      <c r="I19" s="14" t="s">
        <v>136</v>
      </c>
    </row>
    <row r="20" customFormat="false" ht="15" hidden="false" customHeight="false" outlineLevel="0" collapsed="false">
      <c r="A20" s="22" t="s">
        <v>137</v>
      </c>
      <c r="B20" s="23" t="s">
        <v>129</v>
      </c>
      <c r="C20" s="24" t="n">
        <v>0.075</v>
      </c>
      <c r="D20" s="24" t="n">
        <v>0.08</v>
      </c>
      <c r="E20" s="24" t="n">
        <v>0.055</v>
      </c>
      <c r="F20" s="24" t="n">
        <v>0.045</v>
      </c>
      <c r="G20" s="25" t="n">
        <f aca="false">INDEX($C20:$F20,1,$B$5)</f>
        <v>0.075</v>
      </c>
      <c r="I20" s="14" t="s">
        <v>138</v>
      </c>
    </row>
    <row r="21" customFormat="false" ht="15" hidden="false" customHeight="false" outlineLevel="0" collapsed="false">
      <c r="A21" s="22" t="s">
        <v>139</v>
      </c>
      <c r="B21" s="23" t="s">
        <v>132</v>
      </c>
      <c r="C21" s="26" t="n">
        <v>1</v>
      </c>
      <c r="D21" s="26" t="n">
        <v>1.12</v>
      </c>
      <c r="E21" s="26" t="n">
        <v>0.88</v>
      </c>
      <c r="F21" s="26" t="n">
        <v>0.8</v>
      </c>
      <c r="G21" s="27" t="n">
        <f aca="false">INDEX($C21:$F21,1,$B$5)</f>
        <v>1</v>
      </c>
      <c r="I21" s="14"/>
    </row>
    <row r="22" customFormat="false" ht="15" hidden="false" customHeight="false" outlineLevel="0" collapsed="false">
      <c r="A22" s="22" t="s">
        <v>140</v>
      </c>
      <c r="B22" s="23" t="s">
        <v>129</v>
      </c>
      <c r="C22" s="24" t="n">
        <v>0.23</v>
      </c>
      <c r="D22" s="24" t="n">
        <v>0.218</v>
      </c>
      <c r="E22" s="24" t="n">
        <v>0.242</v>
      </c>
      <c r="F22" s="24" t="n">
        <v>0.25</v>
      </c>
      <c r="G22" s="25" t="n">
        <f aca="false">INDEX($C22:$F22,1,$B$5)</f>
        <v>0.23</v>
      </c>
      <c r="I22" s="14" t="s">
        <v>141</v>
      </c>
    </row>
    <row r="23" customFormat="false" ht="15" hidden="false" customHeight="false" outlineLevel="0" collapsed="false">
      <c r="A23" s="22" t="s">
        <v>142</v>
      </c>
      <c r="B23" s="23" t="s">
        <v>129</v>
      </c>
      <c r="C23" s="24" t="n">
        <v>0.08</v>
      </c>
      <c r="D23" s="24" t="n">
        <v>0.075</v>
      </c>
      <c r="E23" s="24" t="n">
        <v>0.09</v>
      </c>
      <c r="F23" s="24" t="n">
        <v>0.1</v>
      </c>
      <c r="G23" s="25" t="n">
        <f aca="false">INDEX($C23:$F23,1,$B$5)</f>
        <v>0.08</v>
      </c>
      <c r="I23" s="14"/>
    </row>
    <row r="24" customFormat="false" ht="15" hidden="false" customHeight="false" outlineLevel="0" collapsed="false">
      <c r="A24" s="22" t="s">
        <v>143</v>
      </c>
      <c r="B24" s="23" t="s">
        <v>129</v>
      </c>
      <c r="C24" s="24" t="n">
        <v>0.11</v>
      </c>
      <c r="D24" s="24" t="n">
        <v>0.105</v>
      </c>
      <c r="E24" s="24" t="n">
        <v>0.12</v>
      </c>
      <c r="F24" s="24" t="n">
        <v>0.125</v>
      </c>
      <c r="G24" s="25" t="n">
        <f aca="false">INDEX($C24:$F24,1,$B$5)</f>
        <v>0.11</v>
      </c>
      <c r="I24" s="14" t="s">
        <v>144</v>
      </c>
    </row>
    <row r="25" customFormat="false" ht="15" hidden="false" customHeight="false" outlineLevel="0" collapsed="false">
      <c r="A25" s="22" t="s">
        <v>145</v>
      </c>
      <c r="B25" s="23" t="s">
        <v>129</v>
      </c>
      <c r="C25" s="24" t="n">
        <v>0</v>
      </c>
      <c r="D25" s="24" t="n">
        <v>-0.03</v>
      </c>
      <c r="E25" s="24" t="n">
        <v>0.06</v>
      </c>
      <c r="F25" s="24" t="n">
        <v>0.12</v>
      </c>
      <c r="G25" s="25" t="n">
        <f aca="false">INDEX($C25:$F25,1,$B$5)</f>
        <v>0</v>
      </c>
      <c r="I25" s="14" t="s">
        <v>146</v>
      </c>
    </row>
    <row r="26" customFormat="false" ht="15" hidden="false" customHeight="false" outlineLevel="0" collapsed="false">
      <c r="A26" s="22" t="s">
        <v>147</v>
      </c>
      <c r="B26" s="23" t="s">
        <v>129</v>
      </c>
      <c r="C26" s="30" t="n">
        <v>0.1075</v>
      </c>
      <c r="D26" s="30" t="n">
        <v>0.1</v>
      </c>
      <c r="E26" s="30" t="n">
        <v>0.115</v>
      </c>
      <c r="F26" s="30" t="n">
        <v>0.125</v>
      </c>
      <c r="G26" s="31" t="n">
        <f aca="false">INDEX($C26:$F26,1,$B$5)</f>
        <v>0.1075</v>
      </c>
      <c r="I26" s="14" t="s">
        <v>148</v>
      </c>
    </row>
    <row r="27" customFormat="false" ht="15" hidden="false" customHeight="false" outlineLevel="0" collapsed="false">
      <c r="A27" s="22" t="s">
        <v>149</v>
      </c>
      <c r="B27" s="23" t="s">
        <v>150</v>
      </c>
      <c r="C27" s="28" t="n">
        <v>0</v>
      </c>
      <c r="D27" s="28" t="n">
        <v>0</v>
      </c>
      <c r="E27" s="28" t="n">
        <v>3</v>
      </c>
      <c r="F27" s="28" t="n">
        <v>6</v>
      </c>
      <c r="G27" s="29" t="n">
        <f aca="false">INDEX($C27:$F27,1,$B$5)</f>
        <v>0</v>
      </c>
      <c r="I27" s="14" t="s">
        <v>151</v>
      </c>
    </row>
    <row r="28" customFormat="false" ht="15" hidden="false" customHeight="false" outlineLevel="0" collapsed="false">
      <c r="A28" s="22" t="s">
        <v>152</v>
      </c>
      <c r="B28" s="23" t="s">
        <v>132</v>
      </c>
      <c r="C28" s="32" t="n">
        <v>13</v>
      </c>
      <c r="D28" s="32" t="n">
        <v>15</v>
      </c>
      <c r="E28" s="32" t="n">
        <v>11</v>
      </c>
      <c r="F28" s="32" t="n">
        <v>9</v>
      </c>
      <c r="G28" s="33" t="n">
        <f aca="false">INDEX($C28:$F28,1,$B$5)</f>
        <v>13</v>
      </c>
      <c r="I28" s="14" t="s">
        <v>153</v>
      </c>
    </row>
    <row r="31" customFormat="false" ht="15" hidden="false" customHeight="false" outlineLevel="0" collapsed="false">
      <c r="A31" s="19" t="s">
        <v>154</v>
      </c>
      <c r="B31" s="20"/>
      <c r="C31" s="20"/>
      <c r="D31" s="20"/>
      <c r="E31" s="20"/>
      <c r="F31" s="20"/>
      <c r="G31" s="20"/>
    </row>
    <row r="32" customFormat="false" ht="27.75" hidden="false" customHeight="true" outlineLevel="0" collapsed="false">
      <c r="A32" s="21" t="s">
        <v>155</v>
      </c>
      <c r="B32" s="21" t="s">
        <v>122</v>
      </c>
      <c r="C32" s="21" t="s">
        <v>156</v>
      </c>
      <c r="D32" s="21" t="s">
        <v>157</v>
      </c>
      <c r="E32" s="21" t="s">
        <v>158</v>
      </c>
      <c r="F32" s="21"/>
      <c r="G32" s="21" t="s">
        <v>127</v>
      </c>
    </row>
    <row r="33" customFormat="false" ht="15" hidden="false" customHeight="false" outlineLevel="0" collapsed="false">
      <c r="A33" s="22" t="s">
        <v>159</v>
      </c>
      <c r="B33" s="23" t="s">
        <v>129</v>
      </c>
      <c r="C33" s="24" t="n">
        <v>0.7</v>
      </c>
      <c r="D33" s="24" t="n">
        <v>0.65</v>
      </c>
      <c r="E33" s="24" t="n">
        <v>0.6</v>
      </c>
      <c r="G33" s="25" t="n">
        <f aca="false">INDEX($C33:$E33,1,$B$8)</f>
        <v>0.7</v>
      </c>
      <c r="I33" s="14" t="s">
        <v>160</v>
      </c>
    </row>
    <row r="34" customFormat="false" ht="15" hidden="false" customHeight="false" outlineLevel="0" collapsed="false">
      <c r="A34" s="22" t="s">
        <v>161</v>
      </c>
      <c r="B34" s="23" t="s">
        <v>162</v>
      </c>
      <c r="C34" s="28" t="n">
        <v>1780</v>
      </c>
      <c r="D34" s="28" t="n">
        <v>1587</v>
      </c>
      <c r="E34" s="28" t="n">
        <v>1450</v>
      </c>
      <c r="G34" s="29" t="n">
        <f aca="false">INDEX($C34:$E34,1,$B$8)</f>
        <v>1780</v>
      </c>
      <c r="I34" s="14" t="s">
        <v>163</v>
      </c>
    </row>
    <row r="35" customFormat="false" ht="15" hidden="false" customHeight="false" outlineLevel="0" collapsed="false">
      <c r="A35" s="22" t="s">
        <v>164</v>
      </c>
      <c r="B35" s="23" t="s">
        <v>129</v>
      </c>
      <c r="C35" s="30" t="n">
        <v>0</v>
      </c>
      <c r="D35" s="30" t="n">
        <v>-0.0015</v>
      </c>
      <c r="E35" s="30" t="n">
        <v>-0.0025</v>
      </c>
      <c r="G35" s="31" t="n">
        <f aca="false">INDEX($C35:$E35,1,$B$8)</f>
        <v>0</v>
      </c>
      <c r="I35" s="14" t="s">
        <v>165</v>
      </c>
    </row>
    <row r="36" customFormat="false" ht="15" hidden="false" customHeight="false" outlineLevel="0" collapsed="false">
      <c r="A36" s="6" t="s">
        <v>166</v>
      </c>
      <c r="G36" s="31" t="n">
        <f aca="false">$G$26+$G$35</f>
        <v>0.1075</v>
      </c>
    </row>
    <row r="39" customFormat="false" ht="15" hidden="false" customHeight="false" outlineLevel="0" collapsed="false">
      <c r="A39" s="19" t="s">
        <v>167</v>
      </c>
      <c r="B39" s="20"/>
      <c r="C39" s="20"/>
      <c r="D39" s="20"/>
      <c r="E39" s="20"/>
      <c r="F39" s="20"/>
      <c r="G39" s="20"/>
    </row>
    <row r="40" customFormat="false" ht="27.75" hidden="false" customHeight="true" outlineLevel="0" collapsed="false">
      <c r="A40" s="21" t="s">
        <v>168</v>
      </c>
      <c r="B40" s="21" t="s">
        <v>169</v>
      </c>
      <c r="C40" s="21" t="s">
        <v>170</v>
      </c>
      <c r="D40" s="21" t="s">
        <v>171</v>
      </c>
      <c r="E40" s="21" t="s">
        <v>172</v>
      </c>
      <c r="F40" s="21" t="s">
        <v>173</v>
      </c>
      <c r="G40" s="21" t="s">
        <v>174</v>
      </c>
    </row>
    <row r="41" customFormat="false" ht="15" hidden="false" customHeight="false" outlineLevel="0" collapsed="false">
      <c r="A41" s="22" t="s">
        <v>175</v>
      </c>
      <c r="B41" s="24" t="n">
        <v>0.4</v>
      </c>
      <c r="C41" s="24" t="n">
        <v>0.3</v>
      </c>
      <c r="D41" s="24" t="n">
        <v>0.6</v>
      </c>
      <c r="E41" s="25" t="n">
        <f aca="false">INDEX($B41:$D41,1,$B$11)</f>
        <v>0.4</v>
      </c>
      <c r="F41" s="24" t="n">
        <v>1</v>
      </c>
      <c r="G41" s="34" t="n">
        <v>3</v>
      </c>
    </row>
    <row r="42" customFormat="false" ht="15" hidden="false" customHeight="false" outlineLevel="0" collapsed="false">
      <c r="A42" s="22" t="s">
        <v>176</v>
      </c>
      <c r="B42" s="24" t="n">
        <v>0.35</v>
      </c>
      <c r="C42" s="24" t="n">
        <v>0.25</v>
      </c>
      <c r="D42" s="24" t="n">
        <v>0.35</v>
      </c>
      <c r="E42" s="25" t="n">
        <f aca="false">INDEX($B42:$D42,1,$B$11)</f>
        <v>0.35</v>
      </c>
      <c r="F42" s="24" t="n">
        <v>0.94</v>
      </c>
      <c r="G42" s="34" t="n">
        <v>55</v>
      </c>
    </row>
    <row r="43" customFormat="false" ht="15" hidden="false" customHeight="false" outlineLevel="0" collapsed="false">
      <c r="A43" s="22" t="s">
        <v>177</v>
      </c>
      <c r="B43" s="24" t="n">
        <v>0.25</v>
      </c>
      <c r="C43" s="24" t="n">
        <v>0.45</v>
      </c>
      <c r="D43" s="24" t="n">
        <v>0.05</v>
      </c>
      <c r="E43" s="25" t="n">
        <f aca="false">INDEX($B43:$D43,1,$B$11)</f>
        <v>0.25</v>
      </c>
      <c r="F43" s="24" t="n">
        <v>0.72</v>
      </c>
      <c r="G43" s="34" t="n">
        <v>110</v>
      </c>
    </row>
    <row r="44" customFormat="false" ht="15" hidden="false" customHeight="false" outlineLevel="0" collapsed="false">
      <c r="A44" s="35" t="s">
        <v>178</v>
      </c>
      <c r="B44" s="36" t="n">
        <f aca="false">SUM(B41:B43)</f>
        <v>1</v>
      </c>
      <c r="C44" s="36" t="n">
        <f aca="false">SUM(C41:C43)</f>
        <v>1</v>
      </c>
      <c r="D44" s="36" t="n">
        <f aca="false">SUM(D41:D43)</f>
        <v>1</v>
      </c>
      <c r="E44" s="36" t="n">
        <f aca="false">SUM(E41:E43)</f>
        <v>1</v>
      </c>
    </row>
    <row r="45" customFormat="false" ht="15" hidden="false" customHeight="false" outlineLevel="0" collapsed="false">
      <c r="A45" s="7" t="s">
        <v>179</v>
      </c>
      <c r="E45" s="37" t="str">
        <f aca="false">IF(ABS($E$44-1)&lt;0.0001,"OK","ERROR - mix does not sum to 100%")</f>
        <v>OK</v>
      </c>
    </row>
    <row r="47" customFormat="false" ht="15" hidden="false" customHeight="false" outlineLevel="0" collapsed="false">
      <c r="A47" s="6" t="s">
        <v>180</v>
      </c>
      <c r="E47" s="38" t="n">
        <f aca="false">SUMPRODUCT($E$41:$E$43,$F$41:$F$43)</f>
        <v>0.909</v>
      </c>
      <c r="I47" s="14" t="s">
        <v>181</v>
      </c>
    </row>
    <row r="48" customFormat="false" ht="15" hidden="false" customHeight="false" outlineLevel="0" collapsed="false">
      <c r="A48" s="6" t="s">
        <v>182</v>
      </c>
      <c r="E48" s="39" t="n">
        <f aca="false">SUMPRODUCT($E$41:$E$43,$G$41:$G$43)</f>
        <v>47.95</v>
      </c>
      <c r="I48" s="14" t="s">
        <v>183</v>
      </c>
    </row>
    <row r="51" customFormat="false" ht="15" hidden="false" customHeight="false" outlineLevel="0" collapsed="false">
      <c r="A51" s="8" t="s">
        <v>184</v>
      </c>
      <c r="B51" s="9"/>
      <c r="C51" s="9"/>
      <c r="D51" s="9"/>
      <c r="E51" s="9"/>
      <c r="F51" s="9"/>
      <c r="G51" s="9"/>
    </row>
    <row r="52" customFormat="false" ht="15" hidden="false" customHeight="false" outlineLevel="0" collapsed="false">
      <c r="A52" s="7" t="s">
        <v>185</v>
      </c>
    </row>
    <row r="53" customFormat="false" ht="15" hidden="false" customHeight="false" outlineLevel="0" collapsed="false">
      <c r="A53" s="7" t="s">
        <v>186</v>
      </c>
    </row>
    <row r="54" customFormat="false" ht="15" hidden="false" customHeight="false" outlineLevel="0" collapsed="false">
      <c r="A54" s="7" t="s">
        <v>187</v>
      </c>
    </row>
    <row r="55" customFormat="false" ht="15" hidden="false" customHeight="false" outlineLevel="0" collapsed="false">
      <c r="A55" s="7" t="s">
        <v>188</v>
      </c>
    </row>
    <row r="56" customFormat="false" ht="15" hidden="false" customHeight="false" outlineLevel="0" collapsed="false">
      <c r="A56" s="14"/>
    </row>
    <row r="57" customFormat="false" ht="15" hidden="false" customHeight="false" outlineLevel="0" collapsed="false">
      <c r="A57" s="7" t="s">
        <v>189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O1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5"/>
    <col collapsed="false" customWidth="true" hidden="false" outlineLevel="0" max="3" min="3" style="0" width="14"/>
    <col collapsed="false" customWidth="true" hidden="false" outlineLevel="0" max="4" min="4" style="0" width="3"/>
    <col collapsed="false" customWidth="true" hidden="false" outlineLevel="0" max="5" min="5" style="0" width="74"/>
    <col collapsed="false" customWidth="true" hidden="false" outlineLevel="0" max="16" min="6" style="0" width="13"/>
  </cols>
  <sheetData>
    <row r="1" customFormat="false" ht="24" hidden="false" customHeight="true" outlineLevel="0" collapsed="false">
      <c r="A1" s="15" t="s">
        <v>190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" hidden="false" customHeight="false" outlineLevel="0" collapsed="false">
      <c r="A2" s="16" t="s">
        <v>191</v>
      </c>
    </row>
    <row r="4" customFormat="false" ht="15" hidden="false" customHeight="false" outlineLevel="0" collapsed="false">
      <c r="A4" s="19" t="s">
        <v>192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</row>
    <row r="5" customFormat="false" ht="15" hidden="false" customHeight="false" outlineLevel="0" collapsed="false">
      <c r="A5" s="7" t="s">
        <v>193</v>
      </c>
      <c r="B5" s="14" t="s">
        <v>194</v>
      </c>
      <c r="C5" s="40" t="n">
        <v>100</v>
      </c>
      <c r="E5" s="14" t="s">
        <v>195</v>
      </c>
    </row>
    <row r="6" customFormat="false" ht="15" hidden="false" customHeight="false" outlineLevel="0" collapsed="false">
      <c r="A6" s="7" t="s">
        <v>196</v>
      </c>
      <c r="B6" s="14" t="s">
        <v>197</v>
      </c>
      <c r="C6" s="40" t="n">
        <v>105000</v>
      </c>
      <c r="E6" s="14" t="s">
        <v>198</v>
      </c>
    </row>
    <row r="7" customFormat="false" ht="15" hidden="false" customHeight="false" outlineLevel="0" collapsed="false">
      <c r="A7" s="7" t="s">
        <v>199</v>
      </c>
      <c r="B7" s="14" t="s">
        <v>200</v>
      </c>
      <c r="C7" s="41" t="n">
        <v>2</v>
      </c>
      <c r="E7" s="14" t="s">
        <v>201</v>
      </c>
    </row>
    <row r="8" customFormat="false" ht="15" hidden="false" customHeight="false" outlineLevel="0" collapsed="false">
      <c r="A8" s="7" t="s">
        <v>202</v>
      </c>
      <c r="B8" s="14" t="s">
        <v>203</v>
      </c>
      <c r="C8" s="40" t="n">
        <v>4</v>
      </c>
      <c r="E8" s="14" t="s">
        <v>204</v>
      </c>
    </row>
    <row r="9" customFormat="false" ht="15" hidden="false" customHeight="false" outlineLevel="0" collapsed="false">
      <c r="A9" s="7" t="s">
        <v>205</v>
      </c>
      <c r="B9" s="14" t="s">
        <v>194</v>
      </c>
      <c r="C9" s="40" t="n">
        <v>33</v>
      </c>
      <c r="E9" s="14" t="s">
        <v>206</v>
      </c>
    </row>
    <row r="10" customFormat="false" ht="15" hidden="false" customHeight="false" outlineLevel="0" collapsed="false">
      <c r="A10" s="7" t="s">
        <v>207</v>
      </c>
      <c r="B10" s="14" t="s">
        <v>203</v>
      </c>
      <c r="C10" s="40" t="n">
        <v>10</v>
      </c>
    </row>
    <row r="11" customFormat="false" ht="15" hidden="false" customHeight="false" outlineLevel="0" collapsed="false">
      <c r="A11" s="7" t="s">
        <v>208</v>
      </c>
      <c r="B11" s="14" t="s">
        <v>150</v>
      </c>
      <c r="C11" s="40" t="n">
        <v>18</v>
      </c>
      <c r="E11" s="14" t="s">
        <v>209</v>
      </c>
    </row>
    <row r="12" customFormat="false" ht="15" hidden="false" customHeight="false" outlineLevel="0" collapsed="false">
      <c r="A12" s="7" t="s">
        <v>210</v>
      </c>
      <c r="B12" s="14" t="s">
        <v>150</v>
      </c>
      <c r="C12" s="42" t="n">
        <f aca="false">'Control Panel'!$G$27</f>
        <v>0</v>
      </c>
      <c r="E12" s="14" t="s">
        <v>211</v>
      </c>
    </row>
    <row r="13" customFormat="false" ht="15" hidden="false" customHeight="false" outlineLevel="0" collapsed="false">
      <c r="A13" s="6" t="s">
        <v>212</v>
      </c>
      <c r="B13" s="14" t="s">
        <v>150</v>
      </c>
      <c r="C13" s="43" t="n">
        <f aca="false">C11+C12</f>
        <v>18</v>
      </c>
    </row>
    <row r="15" customFormat="false" ht="15" hidden="false" customHeight="false" outlineLevel="0" collapsed="false">
      <c r="A15" s="19" t="s">
        <v>213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</row>
    <row r="16" customFormat="false" ht="27.75" hidden="false" customHeight="true" outlineLevel="0" collapsed="false">
      <c r="A16" s="44" t="s">
        <v>214</v>
      </c>
      <c r="B16" s="44" t="s">
        <v>215</v>
      </c>
      <c r="C16" s="44" t="s">
        <v>216</v>
      </c>
    </row>
    <row r="17" customFormat="false" ht="15" hidden="false" customHeight="false" outlineLevel="0" collapsed="false">
      <c r="A17" s="7" t="s">
        <v>217</v>
      </c>
      <c r="B17" s="28" t="n">
        <v>34</v>
      </c>
      <c r="C17" s="45" t="n">
        <f aca="false">IFERROR(B17/$B$25,0)</f>
        <v>0.34</v>
      </c>
    </row>
    <row r="18" customFormat="false" ht="15" hidden="false" customHeight="false" outlineLevel="0" collapsed="false">
      <c r="A18" s="7" t="s">
        <v>218</v>
      </c>
      <c r="B18" s="28" t="n">
        <v>18</v>
      </c>
      <c r="C18" s="45" t="n">
        <f aca="false">IFERROR(B18/$B$25,0)</f>
        <v>0.18</v>
      </c>
    </row>
    <row r="19" customFormat="false" ht="15" hidden="false" customHeight="false" outlineLevel="0" collapsed="false">
      <c r="A19" s="7" t="s">
        <v>219</v>
      </c>
      <c r="B19" s="28" t="n">
        <v>12</v>
      </c>
      <c r="C19" s="45" t="n">
        <f aca="false">IFERROR(B19/$B$25,0)</f>
        <v>0.12</v>
      </c>
    </row>
    <row r="20" customFormat="false" ht="15" hidden="false" customHeight="false" outlineLevel="0" collapsed="false">
      <c r="A20" s="7" t="s">
        <v>220</v>
      </c>
      <c r="B20" s="28" t="n">
        <v>14</v>
      </c>
      <c r="C20" s="45" t="n">
        <f aca="false">IFERROR(B20/$B$25,0)</f>
        <v>0.14</v>
      </c>
    </row>
    <row r="21" customFormat="false" ht="15" hidden="false" customHeight="false" outlineLevel="0" collapsed="false">
      <c r="A21" s="7" t="s">
        <v>221</v>
      </c>
      <c r="B21" s="28" t="n">
        <v>6</v>
      </c>
      <c r="C21" s="45" t="n">
        <f aca="false">IFERROR(B21/$B$25,0)</f>
        <v>0.06</v>
      </c>
    </row>
    <row r="22" customFormat="false" ht="15" hidden="false" customHeight="false" outlineLevel="0" collapsed="false">
      <c r="A22" s="7" t="s">
        <v>222</v>
      </c>
      <c r="B22" s="28" t="n">
        <v>8</v>
      </c>
      <c r="C22" s="45" t="n">
        <f aca="false">IFERROR(B22/$B$25,0)</f>
        <v>0.08</v>
      </c>
    </row>
    <row r="23" customFormat="false" ht="15" hidden="false" customHeight="false" outlineLevel="0" collapsed="false">
      <c r="A23" s="7" t="s">
        <v>223</v>
      </c>
      <c r="B23" s="28" t="n">
        <v>5</v>
      </c>
      <c r="C23" s="45" t="n">
        <f aca="false">IFERROR(B23/$B$25,0)</f>
        <v>0.05</v>
      </c>
    </row>
    <row r="24" customFormat="false" ht="15" hidden="false" customHeight="false" outlineLevel="0" collapsed="false">
      <c r="A24" s="7" t="s">
        <v>224</v>
      </c>
      <c r="B24" s="28" t="n">
        <v>3</v>
      </c>
      <c r="C24" s="45" t="n">
        <f aca="false">IFERROR(B24/$B$25,0)</f>
        <v>0.03</v>
      </c>
    </row>
    <row r="25" customFormat="false" ht="15" hidden="false" customHeight="false" outlineLevel="0" collapsed="false">
      <c r="A25" s="35" t="s">
        <v>225</v>
      </c>
      <c r="B25" s="46" t="n">
        <f aca="false">SUM(B17:B24)</f>
        <v>100</v>
      </c>
      <c r="C25" s="36" t="n">
        <f aca="false">SUM(C17:C24)</f>
        <v>1</v>
      </c>
    </row>
    <row r="26" customFormat="false" ht="15" hidden="false" customHeight="false" outlineLevel="0" collapsed="false">
      <c r="A26" s="7" t="s">
        <v>226</v>
      </c>
      <c r="B26" s="37" t="str">
        <f aca="false">IF(B25=C5,"OK","ERROR")</f>
        <v>OK</v>
      </c>
    </row>
    <row r="28" customFormat="false" ht="15" hidden="false" customHeight="false" outlineLevel="0" collapsed="false">
      <c r="A28" s="19" t="s">
        <v>227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</row>
    <row r="29" customFormat="false" ht="15" hidden="false" customHeight="false" outlineLevel="0" collapsed="false">
      <c r="A29" s="7" t="s">
        <v>228</v>
      </c>
      <c r="B29" s="14" t="s">
        <v>129</v>
      </c>
      <c r="C29" s="47" t="n">
        <f aca="false">'Control Panel'!$G$17</f>
        <v>0.72</v>
      </c>
      <c r="E29" s="14" t="s">
        <v>229</v>
      </c>
    </row>
    <row r="30" customFormat="false" ht="15" hidden="false" customHeight="false" outlineLevel="0" collapsed="false">
      <c r="A30" s="7" t="s">
        <v>131</v>
      </c>
      <c r="B30" s="14" t="s">
        <v>132</v>
      </c>
      <c r="C30" s="48" t="n">
        <f aca="false">'Control Panel'!$G$18</f>
        <v>1</v>
      </c>
      <c r="E30" s="14" t="s">
        <v>230</v>
      </c>
    </row>
    <row r="31" customFormat="false" ht="15" hidden="false" customHeight="false" outlineLevel="0" collapsed="false">
      <c r="A31" s="7" t="s">
        <v>231</v>
      </c>
      <c r="B31" s="14" t="s">
        <v>135</v>
      </c>
      <c r="C31" s="42" t="n">
        <f aca="false">'Control Panel'!$G$19</f>
        <v>26500</v>
      </c>
      <c r="E31" s="14" t="s">
        <v>232</v>
      </c>
    </row>
    <row r="32" customFormat="false" ht="15" hidden="false" customHeight="false" outlineLevel="0" collapsed="false">
      <c r="A32" s="7" t="s">
        <v>137</v>
      </c>
      <c r="B32" s="14" t="s">
        <v>129</v>
      </c>
      <c r="C32" s="47" t="n">
        <f aca="false">'Control Panel'!$G$20</f>
        <v>0.075</v>
      </c>
      <c r="E32" s="14" t="s">
        <v>233</v>
      </c>
    </row>
    <row r="33" customFormat="false" ht="15" hidden="false" customHeight="false" outlineLevel="0" collapsed="false">
      <c r="A33" s="7" t="s">
        <v>234</v>
      </c>
      <c r="B33" s="14" t="s">
        <v>235</v>
      </c>
      <c r="C33" s="49" t="n">
        <f aca="false">'Control Panel'!$E$47</f>
        <v>0.909</v>
      </c>
      <c r="E33" s="14" t="s">
        <v>181</v>
      </c>
    </row>
    <row r="34" customFormat="false" ht="15" hidden="false" customHeight="false" outlineLevel="0" collapsed="false">
      <c r="A34" s="7" t="s">
        <v>236</v>
      </c>
      <c r="B34" s="14" t="s">
        <v>237</v>
      </c>
      <c r="C34" s="41" t="n">
        <v>3.9</v>
      </c>
      <c r="E34" s="14" t="s">
        <v>238</v>
      </c>
    </row>
    <row r="36" customFormat="false" ht="15" hidden="false" customHeight="false" outlineLevel="0" collapsed="false">
      <c r="A36" s="8" t="s">
        <v>239</v>
      </c>
      <c r="C36" s="9"/>
      <c r="D36" s="9"/>
      <c r="E36" s="9"/>
      <c r="F36" s="9"/>
      <c r="G36" s="9"/>
      <c r="H36" s="9"/>
      <c r="I36" s="9"/>
      <c r="J36" s="9"/>
      <c r="K36" s="9"/>
      <c r="L36" s="9"/>
    </row>
    <row r="37" customFormat="false" ht="15" hidden="false" customHeight="false" outlineLevel="0" collapsed="false">
      <c r="A37" s="50" t="s">
        <v>240</v>
      </c>
      <c r="B37" s="50" t="s">
        <v>122</v>
      </c>
      <c r="C37" s="51" t="s">
        <v>241</v>
      </c>
      <c r="D37" s="51" t="s">
        <v>242</v>
      </c>
      <c r="E37" s="51" t="s">
        <v>243</v>
      </c>
      <c r="F37" s="51" t="s">
        <v>244</v>
      </c>
      <c r="G37" s="51" t="s">
        <v>245</v>
      </c>
      <c r="H37" s="51" t="s">
        <v>246</v>
      </c>
      <c r="I37" s="51" t="s">
        <v>247</v>
      </c>
      <c r="J37" s="51" t="s">
        <v>248</v>
      </c>
      <c r="K37" s="51" t="s">
        <v>249</v>
      </c>
      <c r="L37" s="51" t="s">
        <v>250</v>
      </c>
    </row>
    <row r="38" customFormat="false" ht="15" hidden="false" customHeight="false" outlineLevel="0" collapsed="false">
      <c r="A38" s="52" t="s">
        <v>251</v>
      </c>
      <c r="B38" s="9"/>
      <c r="C38" s="53" t="s">
        <v>252</v>
      </c>
      <c r="D38" s="53" t="s">
        <v>253</v>
      </c>
      <c r="E38" s="53" t="s">
        <v>254</v>
      </c>
      <c r="F38" s="53" t="s">
        <v>255</v>
      </c>
      <c r="G38" s="53" t="s">
        <v>256</v>
      </c>
      <c r="H38" s="53" t="s">
        <v>257</v>
      </c>
      <c r="I38" s="53" t="s">
        <v>258</v>
      </c>
      <c r="J38" s="53" t="s">
        <v>259</v>
      </c>
      <c r="K38" s="53" t="s">
        <v>260</v>
      </c>
      <c r="L38" s="53" t="s">
        <v>261</v>
      </c>
    </row>
    <row r="39" customFormat="false" ht="15" hidden="false" customHeight="false" outlineLevel="0" collapsed="false">
      <c r="A39" s="7" t="s">
        <v>262</v>
      </c>
      <c r="B39" s="14" t="s">
        <v>129</v>
      </c>
      <c r="C39" s="54" t="n">
        <v>0.38</v>
      </c>
      <c r="D39" s="54" t="n">
        <v>0.6</v>
      </c>
      <c r="E39" s="54" t="n">
        <v>0.78</v>
      </c>
      <c r="F39" s="54" t="n">
        <v>0.89</v>
      </c>
      <c r="G39" s="54" t="n">
        <v>0.97</v>
      </c>
      <c r="H39" s="54" t="n">
        <v>1</v>
      </c>
      <c r="I39" s="54" t="n">
        <v>1</v>
      </c>
      <c r="J39" s="54" t="n">
        <v>1</v>
      </c>
      <c r="K39" s="54" t="n">
        <v>1</v>
      </c>
      <c r="L39" s="54" t="n">
        <v>1</v>
      </c>
      <c r="N39" s="14" t="s">
        <v>263</v>
      </c>
    </row>
    <row r="40" customFormat="false" ht="15" hidden="false" customHeight="false" outlineLevel="0" collapsed="false">
      <c r="A40" s="6" t="s">
        <v>264</v>
      </c>
      <c r="B40" s="14" t="s">
        <v>129</v>
      </c>
      <c r="C40" s="55" t="n">
        <f aca="false">MIN($C$29*C39*$C$30,0.92)</f>
        <v>0.2736</v>
      </c>
      <c r="D40" s="55" t="n">
        <f aca="false">MIN($C$29*D39*$C$30,0.92)</f>
        <v>0.432</v>
      </c>
      <c r="E40" s="55" t="n">
        <f aca="false">MIN($C$29*E39*$C$30,0.92)</f>
        <v>0.5616</v>
      </c>
      <c r="F40" s="55" t="n">
        <f aca="false">MIN($C$29*F39*$C$30,0.92)</f>
        <v>0.6408</v>
      </c>
      <c r="G40" s="55" t="n">
        <f aca="false">MIN($C$29*G39*$C$30,0.92)</f>
        <v>0.6984</v>
      </c>
      <c r="H40" s="55" t="n">
        <f aca="false">MIN($C$29*H39*$C$30,0.92)</f>
        <v>0.72</v>
      </c>
      <c r="I40" s="55" t="n">
        <f aca="false">MIN($C$29*I39*$C$30,0.92)</f>
        <v>0.72</v>
      </c>
      <c r="J40" s="55" t="n">
        <f aca="false">MIN($C$29*J39*$C$30,0.92)</f>
        <v>0.72</v>
      </c>
      <c r="K40" s="55" t="n">
        <f aca="false">MIN($C$29*K39*$C$30,0.92)</f>
        <v>0.72</v>
      </c>
      <c r="L40" s="55" t="n">
        <f aca="false">MIN($C$29*L39*$C$30,0.92)</f>
        <v>0.72</v>
      </c>
      <c r="N40" s="14" t="s">
        <v>265</v>
      </c>
    </row>
    <row r="42" customFormat="false" ht="15" hidden="false" customHeight="false" outlineLevel="0" collapsed="false">
      <c r="A42" s="19" t="s">
        <v>266</v>
      </c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</row>
    <row r="43" customFormat="false" ht="15" hidden="false" customHeight="false" outlineLevel="0" collapsed="false">
      <c r="A43" s="7" t="s">
        <v>139</v>
      </c>
      <c r="B43" s="14" t="s">
        <v>132</v>
      </c>
      <c r="C43" s="48" t="n">
        <f aca="false">'Control Panel'!$G$21</f>
        <v>1</v>
      </c>
    </row>
    <row r="44" customFormat="false" ht="15" hidden="false" customHeight="false" outlineLevel="0" collapsed="false">
      <c r="A44" s="7" t="s">
        <v>267</v>
      </c>
      <c r="B44" s="14" t="s">
        <v>268</v>
      </c>
      <c r="C44" s="40" t="n">
        <v>100</v>
      </c>
      <c r="E44" s="14" t="s">
        <v>269</v>
      </c>
    </row>
    <row r="45" customFormat="false" ht="15" hidden="false" customHeight="false" outlineLevel="0" collapsed="false">
      <c r="A45" s="7" t="s">
        <v>270</v>
      </c>
      <c r="B45" s="14" t="s">
        <v>271</v>
      </c>
      <c r="C45" s="40" t="n">
        <v>700</v>
      </c>
      <c r="E45" s="14" t="s">
        <v>272</v>
      </c>
    </row>
    <row r="46" customFormat="false" ht="15" hidden="false" customHeight="false" outlineLevel="0" collapsed="false">
      <c r="A46" s="7" t="s">
        <v>273</v>
      </c>
      <c r="B46" s="14" t="s">
        <v>129</v>
      </c>
      <c r="C46" s="56" t="n">
        <v>0.06</v>
      </c>
    </row>
    <row r="47" customFormat="false" ht="15" hidden="false" customHeight="false" outlineLevel="0" collapsed="false">
      <c r="A47" s="7" t="s">
        <v>274</v>
      </c>
      <c r="B47" s="14" t="s">
        <v>275</v>
      </c>
      <c r="C47" s="56" t="n">
        <v>0.45</v>
      </c>
      <c r="E47" s="14" t="s">
        <v>276</v>
      </c>
    </row>
    <row r="48" customFormat="false" ht="15" hidden="false" customHeight="false" outlineLevel="0" collapsed="false">
      <c r="A48" s="7" t="s">
        <v>277</v>
      </c>
      <c r="B48" s="14" t="s">
        <v>271</v>
      </c>
      <c r="C48" s="40" t="n">
        <v>950</v>
      </c>
    </row>
    <row r="49" customFormat="false" ht="15" hidden="false" customHeight="false" outlineLevel="0" collapsed="false">
      <c r="A49" s="7" t="s">
        <v>278</v>
      </c>
      <c r="B49" s="14" t="s">
        <v>275</v>
      </c>
      <c r="C49" s="56" t="n">
        <v>0.55</v>
      </c>
    </row>
    <row r="50" customFormat="false" ht="15" hidden="false" customHeight="false" outlineLevel="0" collapsed="false">
      <c r="A50" s="7" t="s">
        <v>279</v>
      </c>
      <c r="B50" s="14" t="s">
        <v>271</v>
      </c>
      <c r="C50" s="40" t="n">
        <v>480</v>
      </c>
    </row>
    <row r="51" customFormat="false" ht="15" hidden="false" customHeight="false" outlineLevel="0" collapsed="false">
      <c r="A51" s="7" t="s">
        <v>207</v>
      </c>
      <c r="B51" s="14" t="s">
        <v>203</v>
      </c>
      <c r="C51" s="40" t="n">
        <v>10</v>
      </c>
    </row>
    <row r="52" customFormat="false" ht="15" hidden="false" customHeight="false" outlineLevel="0" collapsed="false">
      <c r="A52" s="7" t="s">
        <v>280</v>
      </c>
      <c r="B52" s="14" t="s">
        <v>203</v>
      </c>
      <c r="C52" s="40" t="n">
        <v>3</v>
      </c>
    </row>
    <row r="53" customFormat="false" ht="15" hidden="false" customHeight="false" outlineLevel="0" collapsed="false">
      <c r="A53" s="7" t="s">
        <v>281</v>
      </c>
      <c r="B53" s="14" t="s">
        <v>237</v>
      </c>
      <c r="C53" s="40" t="n">
        <v>350</v>
      </c>
    </row>
    <row r="54" customFormat="false" ht="15" hidden="false" customHeight="false" outlineLevel="0" collapsed="false">
      <c r="A54" s="7" t="s">
        <v>282</v>
      </c>
      <c r="B54" s="14" t="s">
        <v>271</v>
      </c>
      <c r="C54" s="40" t="n">
        <v>1900</v>
      </c>
      <c r="E54" s="14" t="s">
        <v>283</v>
      </c>
    </row>
    <row r="56" customFormat="false" ht="15" hidden="false" customHeight="false" outlineLevel="0" collapsed="false">
      <c r="A56" s="50" t="s">
        <v>284</v>
      </c>
      <c r="B56" s="50" t="s">
        <v>122</v>
      </c>
      <c r="C56" s="51" t="s">
        <v>241</v>
      </c>
      <c r="D56" s="51" t="s">
        <v>242</v>
      </c>
      <c r="E56" s="51" t="s">
        <v>243</v>
      </c>
      <c r="F56" s="51" t="s">
        <v>244</v>
      </c>
      <c r="G56" s="51" t="s">
        <v>245</v>
      </c>
      <c r="H56" s="51" t="s">
        <v>246</v>
      </c>
      <c r="I56" s="51" t="s">
        <v>247</v>
      </c>
      <c r="J56" s="51" t="s">
        <v>248</v>
      </c>
      <c r="K56" s="51" t="s">
        <v>249</v>
      </c>
      <c r="L56" s="51" t="s">
        <v>250</v>
      </c>
    </row>
    <row r="57" customFormat="false" ht="15" hidden="false" customHeight="false" outlineLevel="0" collapsed="false">
      <c r="A57" s="52" t="s">
        <v>251</v>
      </c>
      <c r="B57" s="9"/>
      <c r="C57" s="53" t="s">
        <v>252</v>
      </c>
      <c r="D57" s="53" t="s">
        <v>253</v>
      </c>
      <c r="E57" s="53" t="s">
        <v>254</v>
      </c>
      <c r="F57" s="53" t="s">
        <v>255</v>
      </c>
      <c r="G57" s="53" t="s">
        <v>256</v>
      </c>
      <c r="H57" s="53" t="s">
        <v>257</v>
      </c>
      <c r="I57" s="53" t="s">
        <v>258</v>
      </c>
      <c r="J57" s="53" t="s">
        <v>259</v>
      </c>
      <c r="K57" s="53" t="s">
        <v>260</v>
      </c>
      <c r="L57" s="53" t="s">
        <v>261</v>
      </c>
    </row>
    <row r="58" customFormat="false" ht="15" hidden="false" customHeight="false" outlineLevel="0" collapsed="false">
      <c r="A58" s="7" t="s">
        <v>285</v>
      </c>
      <c r="B58" s="14" t="s">
        <v>132</v>
      </c>
      <c r="C58" s="57" t="n">
        <v>1</v>
      </c>
      <c r="D58" s="57" t="n">
        <v>1.6</v>
      </c>
      <c r="E58" s="57" t="n">
        <v>2.2</v>
      </c>
      <c r="F58" s="57" t="n">
        <v>2.6</v>
      </c>
      <c r="G58" s="57" t="n">
        <v>2.9</v>
      </c>
      <c r="H58" s="57" t="n">
        <v>3.1</v>
      </c>
      <c r="I58" s="57" t="n">
        <v>3.25</v>
      </c>
      <c r="J58" s="57" t="n">
        <v>3.35</v>
      </c>
      <c r="K58" s="57" t="n">
        <v>3.45</v>
      </c>
      <c r="L58" s="57" t="n">
        <v>3.55</v>
      </c>
    </row>
    <row r="59" customFormat="false" ht="15" hidden="false" customHeight="false" outlineLevel="0" collapsed="false">
      <c r="A59" s="7" t="s">
        <v>286</v>
      </c>
      <c r="B59" s="14" t="s">
        <v>129</v>
      </c>
      <c r="C59" s="54" t="n">
        <v>0.45</v>
      </c>
      <c r="D59" s="54" t="n">
        <v>0.47</v>
      </c>
      <c r="E59" s="54" t="n">
        <v>0.48</v>
      </c>
      <c r="F59" s="54" t="n">
        <v>0.49</v>
      </c>
      <c r="G59" s="54" t="n">
        <v>0.5</v>
      </c>
      <c r="H59" s="54" t="n">
        <v>0.5</v>
      </c>
      <c r="I59" s="54" t="n">
        <v>0.51</v>
      </c>
      <c r="J59" s="54" t="n">
        <v>0.51</v>
      </c>
      <c r="K59" s="54" t="n">
        <v>0.52</v>
      </c>
      <c r="L59" s="54" t="n">
        <v>0.52</v>
      </c>
    </row>
    <row r="60" customFormat="false" ht="15" hidden="false" customHeight="false" outlineLevel="0" collapsed="false">
      <c r="A60" s="7" t="s">
        <v>287</v>
      </c>
      <c r="B60" s="14" t="s">
        <v>129</v>
      </c>
      <c r="C60" s="54" t="n">
        <v>0.55</v>
      </c>
      <c r="D60" s="54" t="n">
        <v>0.57</v>
      </c>
      <c r="E60" s="54" t="n">
        <v>0.58</v>
      </c>
      <c r="F60" s="54" t="n">
        <v>0.59</v>
      </c>
      <c r="G60" s="54" t="n">
        <v>0.6</v>
      </c>
      <c r="H60" s="54" t="n">
        <v>0.6</v>
      </c>
      <c r="I60" s="54" t="n">
        <v>0.61</v>
      </c>
      <c r="J60" s="54" t="n">
        <v>0.61</v>
      </c>
      <c r="K60" s="54" t="n">
        <v>0.62</v>
      </c>
      <c r="L60" s="54" t="n">
        <v>0.62</v>
      </c>
    </row>
    <row r="61" customFormat="false" ht="15" hidden="false" customHeight="false" outlineLevel="0" collapsed="false">
      <c r="A61" s="7" t="s">
        <v>288</v>
      </c>
      <c r="B61" s="14" t="s">
        <v>129</v>
      </c>
      <c r="C61" s="54" t="n">
        <v>0.3</v>
      </c>
      <c r="D61" s="54" t="n">
        <v>0.45</v>
      </c>
      <c r="E61" s="54" t="n">
        <v>0.6</v>
      </c>
      <c r="F61" s="54" t="n">
        <v>0.68</v>
      </c>
      <c r="G61" s="54" t="n">
        <v>0.75</v>
      </c>
      <c r="H61" s="54" t="n">
        <v>0.8</v>
      </c>
      <c r="I61" s="54" t="n">
        <v>0.82</v>
      </c>
      <c r="J61" s="54" t="n">
        <v>0.83</v>
      </c>
      <c r="K61" s="54" t="n">
        <v>0.84</v>
      </c>
      <c r="L61" s="54" t="n">
        <v>0.85</v>
      </c>
    </row>
    <row r="62" customFormat="false" ht="15" hidden="false" customHeight="false" outlineLevel="0" collapsed="false">
      <c r="A62" s="7" t="s">
        <v>289</v>
      </c>
      <c r="B62" s="14" t="s">
        <v>162</v>
      </c>
      <c r="C62" s="58" t="n">
        <v>40</v>
      </c>
      <c r="D62" s="58" t="n">
        <v>55</v>
      </c>
      <c r="E62" s="58" t="n">
        <v>70</v>
      </c>
      <c r="F62" s="58" t="n">
        <v>82</v>
      </c>
      <c r="G62" s="58" t="n">
        <v>95</v>
      </c>
      <c r="H62" s="58" t="n">
        <v>105</v>
      </c>
      <c r="I62" s="58" t="n">
        <v>115</v>
      </c>
      <c r="J62" s="58" t="n">
        <v>124</v>
      </c>
      <c r="K62" s="58" t="n">
        <v>133</v>
      </c>
      <c r="L62" s="58" t="n">
        <v>142</v>
      </c>
    </row>
    <row r="64" customFormat="false" ht="15" hidden="false" customHeight="false" outlineLevel="0" collapsed="false">
      <c r="A64" s="19" t="s">
        <v>290</v>
      </c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</row>
    <row r="65" customFormat="false" ht="15" hidden="false" customHeight="false" outlineLevel="0" collapsed="false">
      <c r="A65" s="7" t="s">
        <v>291</v>
      </c>
      <c r="B65" s="14" t="s">
        <v>129</v>
      </c>
      <c r="C65" s="47" t="n">
        <f aca="false">'Control Panel'!$G$24</f>
        <v>0.11</v>
      </c>
      <c r="E65" s="14" t="s">
        <v>292</v>
      </c>
    </row>
    <row r="66" customFormat="false" ht="15" hidden="false" customHeight="false" outlineLevel="0" collapsed="false">
      <c r="A66" s="7" t="s">
        <v>293</v>
      </c>
      <c r="B66" s="14" t="s">
        <v>129</v>
      </c>
      <c r="C66" s="47" t="n">
        <f aca="false">'Control Panel'!$G$22</f>
        <v>0.23</v>
      </c>
      <c r="E66" s="14" t="s">
        <v>294</v>
      </c>
    </row>
    <row r="67" customFormat="false" ht="15" hidden="false" customHeight="false" outlineLevel="0" collapsed="false">
      <c r="A67" s="7" t="s">
        <v>295</v>
      </c>
      <c r="B67" s="14" t="s">
        <v>162</v>
      </c>
      <c r="C67" s="59" t="n">
        <v>1493.9</v>
      </c>
      <c r="E67" s="14" t="s">
        <v>296</v>
      </c>
    </row>
    <row r="68" customFormat="false" ht="15" hidden="false" customHeight="false" outlineLevel="0" collapsed="false">
      <c r="A68" s="7" t="s">
        <v>142</v>
      </c>
      <c r="B68" s="14" t="s">
        <v>129</v>
      </c>
      <c r="C68" s="47" t="n">
        <f aca="false">'Control Panel'!$G$23</f>
        <v>0.08</v>
      </c>
      <c r="E68" s="14" t="s">
        <v>297</v>
      </c>
    </row>
    <row r="70" customFormat="false" ht="15" hidden="false" customHeight="false" outlineLevel="0" collapsed="false">
      <c r="A70" s="50" t="s">
        <v>298</v>
      </c>
      <c r="B70" s="50" t="s">
        <v>122</v>
      </c>
      <c r="C70" s="51" t="s">
        <v>241</v>
      </c>
      <c r="D70" s="51" t="s">
        <v>242</v>
      </c>
      <c r="E70" s="51" t="s">
        <v>243</v>
      </c>
      <c r="F70" s="51" t="s">
        <v>244</v>
      </c>
      <c r="G70" s="51" t="s">
        <v>245</v>
      </c>
      <c r="H70" s="51" t="s">
        <v>246</v>
      </c>
      <c r="I70" s="51" t="s">
        <v>247</v>
      </c>
      <c r="J70" s="51" t="s">
        <v>248</v>
      </c>
      <c r="K70" s="51" t="s">
        <v>249</v>
      </c>
      <c r="L70" s="51" t="s">
        <v>250</v>
      </c>
    </row>
    <row r="71" customFormat="false" ht="15" hidden="false" customHeight="false" outlineLevel="0" collapsed="false">
      <c r="A71" s="52" t="s">
        <v>251</v>
      </c>
      <c r="B71" s="9"/>
      <c r="C71" s="53" t="s">
        <v>252</v>
      </c>
      <c r="D71" s="53" t="s">
        <v>253</v>
      </c>
      <c r="E71" s="53" t="s">
        <v>254</v>
      </c>
      <c r="F71" s="53" t="s">
        <v>255</v>
      </c>
      <c r="G71" s="53" t="s">
        <v>256</v>
      </c>
      <c r="H71" s="53" t="s">
        <v>257</v>
      </c>
      <c r="I71" s="53" t="s">
        <v>258</v>
      </c>
      <c r="J71" s="53" t="s">
        <v>259</v>
      </c>
      <c r="K71" s="53" t="s">
        <v>260</v>
      </c>
      <c r="L71" s="53" t="s">
        <v>261</v>
      </c>
    </row>
    <row r="72" customFormat="false" ht="15" hidden="false" customHeight="false" outlineLevel="0" collapsed="false">
      <c r="A72" s="7" t="s">
        <v>299</v>
      </c>
      <c r="B72" s="14" t="s">
        <v>162</v>
      </c>
      <c r="C72" s="58" t="n">
        <v>200</v>
      </c>
      <c r="D72" s="58" t="n">
        <v>250</v>
      </c>
      <c r="E72" s="58" t="n">
        <v>310</v>
      </c>
      <c r="F72" s="58" t="n">
        <v>380</v>
      </c>
      <c r="G72" s="58" t="n">
        <v>460</v>
      </c>
      <c r="H72" s="58" t="n">
        <v>500</v>
      </c>
      <c r="I72" s="58" t="n">
        <v>530</v>
      </c>
      <c r="J72" s="58" t="n">
        <v>560</v>
      </c>
      <c r="K72" s="58" t="n">
        <v>590</v>
      </c>
      <c r="L72" s="58" t="n">
        <v>620</v>
      </c>
      <c r="N72" s="14" t="s">
        <v>300</v>
      </c>
    </row>
    <row r="73" customFormat="false" ht="15" hidden="false" customHeight="false" outlineLevel="0" collapsed="false">
      <c r="A73" s="7" t="s">
        <v>301</v>
      </c>
      <c r="B73" s="14" t="s">
        <v>162</v>
      </c>
      <c r="C73" s="58" t="n">
        <v>185</v>
      </c>
      <c r="D73" s="58" t="n">
        <v>215</v>
      </c>
      <c r="E73" s="58" t="n">
        <v>265</v>
      </c>
      <c r="F73" s="58" t="n">
        <v>300</v>
      </c>
      <c r="G73" s="58" t="n">
        <v>420</v>
      </c>
      <c r="H73" s="58" t="n">
        <v>445</v>
      </c>
      <c r="I73" s="58" t="n">
        <v>470</v>
      </c>
      <c r="J73" s="58" t="n">
        <v>495</v>
      </c>
      <c r="K73" s="58" t="n">
        <v>520</v>
      </c>
      <c r="L73" s="58" t="n">
        <v>545</v>
      </c>
    </row>
    <row r="74" customFormat="false" ht="15" hidden="false" customHeight="false" outlineLevel="0" collapsed="false">
      <c r="A74" s="7" t="s">
        <v>302</v>
      </c>
      <c r="B74" s="14" t="s">
        <v>162</v>
      </c>
      <c r="C74" s="58" t="n">
        <v>120</v>
      </c>
      <c r="D74" s="58" t="n">
        <v>145</v>
      </c>
      <c r="E74" s="58" t="n">
        <v>190</v>
      </c>
      <c r="F74" s="58" t="n">
        <v>240</v>
      </c>
      <c r="G74" s="58" t="n">
        <v>300</v>
      </c>
      <c r="H74" s="58" t="n">
        <v>330</v>
      </c>
      <c r="I74" s="58" t="n">
        <v>355</v>
      </c>
      <c r="J74" s="58" t="n">
        <v>380</v>
      </c>
      <c r="K74" s="58" t="n">
        <v>405</v>
      </c>
      <c r="L74" s="58" t="n">
        <v>430</v>
      </c>
    </row>
    <row r="75" customFormat="false" ht="15" hidden="false" customHeight="false" outlineLevel="0" collapsed="false">
      <c r="A75" s="7" t="s">
        <v>303</v>
      </c>
      <c r="B75" s="14" t="s">
        <v>162</v>
      </c>
      <c r="C75" s="58" t="n">
        <v>155</v>
      </c>
      <c r="D75" s="58" t="n">
        <v>180</v>
      </c>
      <c r="E75" s="58" t="n">
        <v>230</v>
      </c>
      <c r="F75" s="58" t="n">
        <v>300</v>
      </c>
      <c r="G75" s="58" t="n">
        <v>380</v>
      </c>
      <c r="H75" s="58" t="n">
        <v>410</v>
      </c>
      <c r="I75" s="58" t="n">
        <v>440</v>
      </c>
      <c r="J75" s="58" t="n">
        <v>470</v>
      </c>
      <c r="K75" s="58" t="n">
        <v>500</v>
      </c>
      <c r="L75" s="58" t="n">
        <v>530</v>
      </c>
    </row>
    <row r="76" customFormat="false" ht="15" hidden="false" customHeight="false" outlineLevel="0" collapsed="false">
      <c r="A76" s="7" t="s">
        <v>304</v>
      </c>
      <c r="B76" s="14" t="s">
        <v>162</v>
      </c>
      <c r="C76" s="58" t="n">
        <v>170</v>
      </c>
      <c r="D76" s="58" t="n">
        <v>175</v>
      </c>
      <c r="E76" s="58" t="n">
        <v>180</v>
      </c>
      <c r="F76" s="58" t="n">
        <v>185</v>
      </c>
      <c r="G76" s="58" t="n">
        <v>190</v>
      </c>
      <c r="H76" s="58" t="n">
        <v>200</v>
      </c>
      <c r="I76" s="58" t="n">
        <v>210</v>
      </c>
      <c r="J76" s="58" t="n">
        <v>220</v>
      </c>
      <c r="K76" s="58" t="n">
        <v>230</v>
      </c>
      <c r="L76" s="58" t="n">
        <v>240</v>
      </c>
      <c r="N76" s="14" t="s">
        <v>305</v>
      </c>
    </row>
    <row r="77" customFormat="false" ht="15" hidden="false" customHeight="false" outlineLevel="0" collapsed="false">
      <c r="A77" s="7" t="s">
        <v>306</v>
      </c>
      <c r="B77" s="14" t="s">
        <v>162</v>
      </c>
      <c r="C77" s="58" t="n">
        <v>90</v>
      </c>
      <c r="D77" s="58" t="n">
        <v>100</v>
      </c>
      <c r="E77" s="58" t="n">
        <v>120</v>
      </c>
      <c r="F77" s="58" t="n">
        <v>140</v>
      </c>
      <c r="G77" s="58" t="n">
        <v>160</v>
      </c>
      <c r="H77" s="58" t="n">
        <v>172</v>
      </c>
      <c r="I77" s="58" t="n">
        <v>184</v>
      </c>
      <c r="J77" s="58" t="n">
        <v>196</v>
      </c>
      <c r="K77" s="58" t="n">
        <v>208</v>
      </c>
      <c r="L77" s="58" t="n">
        <v>220</v>
      </c>
    </row>
    <row r="79" customFormat="false" ht="15" hidden="false" customHeight="false" outlineLevel="0" collapsed="false">
      <c r="A79" s="19" t="s">
        <v>307</v>
      </c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</row>
    <row r="80" customFormat="false" ht="15" hidden="false" customHeight="false" outlineLevel="0" collapsed="false">
      <c r="A80" s="7" t="s">
        <v>308</v>
      </c>
      <c r="B80" s="14" t="s">
        <v>237</v>
      </c>
      <c r="C80" s="60" t="n">
        <f aca="false">'Control Panel'!$E$48</f>
        <v>47.95</v>
      </c>
      <c r="E80" s="14" t="s">
        <v>309</v>
      </c>
    </row>
    <row r="81" customFormat="false" ht="15" hidden="false" customHeight="false" outlineLevel="0" collapsed="false">
      <c r="A81" s="7" t="s">
        <v>310</v>
      </c>
      <c r="B81" s="14" t="s">
        <v>237</v>
      </c>
      <c r="C81" s="41" t="n">
        <v>25</v>
      </c>
      <c r="E81" s="14" t="s">
        <v>311</v>
      </c>
    </row>
    <row r="82" customFormat="false" ht="15" hidden="false" customHeight="false" outlineLevel="0" collapsed="false">
      <c r="A82" s="7" t="s">
        <v>312</v>
      </c>
      <c r="B82" s="14" t="s">
        <v>237</v>
      </c>
      <c r="C82" s="41" t="n">
        <v>45</v>
      </c>
    </row>
    <row r="83" customFormat="false" ht="15" hidden="false" customHeight="false" outlineLevel="0" collapsed="false">
      <c r="A83" s="7" t="s">
        <v>313</v>
      </c>
      <c r="B83" s="14" t="s">
        <v>237</v>
      </c>
      <c r="C83" s="41" t="n">
        <v>12</v>
      </c>
      <c r="E83" s="14" t="s">
        <v>314</v>
      </c>
    </row>
    <row r="84" customFormat="false" ht="15" hidden="false" customHeight="false" outlineLevel="0" collapsed="false">
      <c r="A84" s="7" t="s">
        <v>315</v>
      </c>
      <c r="B84" s="14" t="s">
        <v>237</v>
      </c>
      <c r="C84" s="41" t="n">
        <v>18</v>
      </c>
      <c r="E84" s="14" t="s">
        <v>316</v>
      </c>
    </row>
    <row r="85" customFormat="false" ht="15" hidden="false" customHeight="false" outlineLevel="0" collapsed="false">
      <c r="A85" s="7" t="s">
        <v>317</v>
      </c>
      <c r="B85" s="14" t="s">
        <v>162</v>
      </c>
      <c r="C85" s="40" t="n">
        <v>150</v>
      </c>
    </row>
    <row r="87" customFormat="false" ht="15" hidden="false" customHeight="false" outlineLevel="0" collapsed="false">
      <c r="A87" s="19" t="s">
        <v>318</v>
      </c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</row>
    <row r="88" customFormat="false" ht="15" hidden="false" customHeight="false" outlineLevel="0" collapsed="false">
      <c r="A88" s="7" t="s">
        <v>319</v>
      </c>
      <c r="B88" s="14" t="s">
        <v>129</v>
      </c>
      <c r="C88" s="61" t="n">
        <v>0.0334</v>
      </c>
      <c r="E88" s="14" t="s">
        <v>320</v>
      </c>
    </row>
    <row r="89" customFormat="false" ht="15" hidden="false" customHeight="false" outlineLevel="0" collapsed="false">
      <c r="A89" s="7" t="s">
        <v>321</v>
      </c>
      <c r="B89" s="14" t="s">
        <v>129</v>
      </c>
      <c r="C89" s="61" t="n">
        <v>0.075</v>
      </c>
      <c r="E89" s="14" t="s">
        <v>322</v>
      </c>
    </row>
    <row r="90" customFormat="false" ht="15" hidden="false" customHeight="false" outlineLevel="0" collapsed="false">
      <c r="A90" s="7" t="s">
        <v>323</v>
      </c>
      <c r="B90" s="14" t="s">
        <v>129</v>
      </c>
      <c r="C90" s="61" t="n">
        <v>0.1</v>
      </c>
      <c r="E90" s="14" t="s">
        <v>324</v>
      </c>
    </row>
    <row r="91" customFormat="false" ht="15" hidden="false" customHeight="false" outlineLevel="0" collapsed="false">
      <c r="A91" s="7" t="s">
        <v>325</v>
      </c>
      <c r="B91" s="14" t="s">
        <v>129</v>
      </c>
      <c r="C91" s="61" t="n">
        <v>0.1</v>
      </c>
      <c r="E91" s="14" t="s">
        <v>324</v>
      </c>
    </row>
    <row r="92" customFormat="false" ht="15" hidden="false" customHeight="false" outlineLevel="0" collapsed="false">
      <c r="A92" s="7" t="s">
        <v>326</v>
      </c>
      <c r="B92" s="14" t="s">
        <v>129</v>
      </c>
      <c r="C92" s="61" t="n">
        <v>0.1667</v>
      </c>
      <c r="E92" s="14" t="s">
        <v>327</v>
      </c>
    </row>
    <row r="93" customFormat="false" ht="15" hidden="false" customHeight="false" outlineLevel="0" collapsed="false">
      <c r="A93" s="7" t="s">
        <v>328</v>
      </c>
      <c r="B93" s="14" t="s">
        <v>329</v>
      </c>
      <c r="C93" s="40" t="n">
        <v>5</v>
      </c>
    </row>
    <row r="94" customFormat="false" ht="15" hidden="false" customHeight="false" outlineLevel="0" collapsed="false">
      <c r="A94" s="7" t="s">
        <v>330</v>
      </c>
      <c r="B94" s="14" t="s">
        <v>129</v>
      </c>
      <c r="C94" s="56" t="n">
        <v>0.02</v>
      </c>
    </row>
    <row r="95" customFormat="false" ht="15" hidden="false" customHeight="false" outlineLevel="0" collapsed="false">
      <c r="A95" s="7" t="s">
        <v>331</v>
      </c>
      <c r="B95" s="14" t="s">
        <v>162</v>
      </c>
      <c r="C95" s="40" t="n">
        <v>550</v>
      </c>
      <c r="E95" s="14" t="s">
        <v>332</v>
      </c>
    </row>
    <row r="97" customFormat="false" ht="15" hidden="false" customHeight="false" outlineLevel="0" collapsed="false">
      <c r="A97" s="19" t="s">
        <v>333</v>
      </c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</row>
    <row r="98" customFormat="false" ht="15" hidden="false" customHeight="false" outlineLevel="0" collapsed="false">
      <c r="A98" s="7" t="s">
        <v>334</v>
      </c>
      <c r="B98" s="14" t="s">
        <v>129</v>
      </c>
      <c r="C98" s="61" t="n">
        <v>0.25168</v>
      </c>
      <c r="E98" s="14" t="s">
        <v>335</v>
      </c>
    </row>
    <row r="99" customFormat="false" ht="15" hidden="false" customHeight="false" outlineLevel="0" collapsed="false">
      <c r="A99" s="7" t="s">
        <v>336</v>
      </c>
      <c r="B99" s="14" t="s">
        <v>329</v>
      </c>
      <c r="C99" s="40" t="n">
        <v>8</v>
      </c>
      <c r="E99" s="14" t="s">
        <v>337</v>
      </c>
    </row>
    <row r="100" customFormat="false" ht="15" hidden="false" customHeight="false" outlineLevel="0" collapsed="false">
      <c r="A100" s="7" t="s">
        <v>338</v>
      </c>
      <c r="B100" s="14" t="s">
        <v>129</v>
      </c>
      <c r="C100" s="56" t="n">
        <v>0.1</v>
      </c>
      <c r="E100" s="14" t="s">
        <v>339</v>
      </c>
    </row>
    <row r="101" customFormat="false" ht="15" hidden="false" customHeight="false" outlineLevel="0" collapsed="false">
      <c r="A101" s="7" t="s">
        <v>340</v>
      </c>
      <c r="B101" s="14" t="s">
        <v>129</v>
      </c>
      <c r="C101" s="56" t="n">
        <v>0.15</v>
      </c>
    </row>
    <row r="102" customFormat="false" ht="15" hidden="false" customHeight="false" outlineLevel="0" collapsed="false">
      <c r="A102" s="7" t="s">
        <v>341</v>
      </c>
      <c r="B102" s="14" t="s">
        <v>129</v>
      </c>
      <c r="C102" s="56" t="n">
        <v>0.4</v>
      </c>
    </row>
    <row r="104" customFormat="false" ht="15" hidden="false" customHeight="false" outlineLevel="0" collapsed="false">
      <c r="A104" s="19" t="s">
        <v>342</v>
      </c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</row>
    <row r="105" customFormat="false" ht="15" hidden="false" customHeight="false" outlineLevel="0" collapsed="false">
      <c r="A105" s="7" t="s">
        <v>159</v>
      </c>
      <c r="B105" s="14" t="s">
        <v>129</v>
      </c>
      <c r="C105" s="47" t="n">
        <f aca="false">'Control Panel'!$G$33</f>
        <v>0.7</v>
      </c>
    </row>
    <row r="106" customFormat="false" ht="15" hidden="false" customHeight="false" outlineLevel="0" collapsed="false">
      <c r="A106" s="7" t="s">
        <v>343</v>
      </c>
      <c r="B106" s="14" t="s">
        <v>129</v>
      </c>
      <c r="C106" s="62" t="n">
        <f aca="false">'Control Panel'!$G$36</f>
        <v>0.1075</v>
      </c>
      <c r="E106" s="14" t="s">
        <v>344</v>
      </c>
    </row>
    <row r="107" customFormat="false" ht="15" hidden="false" customHeight="false" outlineLevel="0" collapsed="false">
      <c r="A107" s="7" t="s">
        <v>345</v>
      </c>
      <c r="B107" s="14" t="s">
        <v>129</v>
      </c>
      <c r="C107" s="61" t="n">
        <v>0.01</v>
      </c>
      <c r="E107" s="14" t="s">
        <v>346</v>
      </c>
    </row>
    <row r="108" customFormat="false" ht="15" hidden="false" customHeight="false" outlineLevel="0" collapsed="false">
      <c r="A108" s="7" t="s">
        <v>347</v>
      </c>
      <c r="B108" s="14" t="s">
        <v>150</v>
      </c>
      <c r="C108" s="40" t="n">
        <v>36</v>
      </c>
      <c r="E108" s="14" t="s">
        <v>348</v>
      </c>
    </row>
    <row r="109" customFormat="false" ht="15" hidden="false" customHeight="false" outlineLevel="0" collapsed="false">
      <c r="A109" s="7" t="s">
        <v>349</v>
      </c>
      <c r="B109" s="14" t="s">
        <v>329</v>
      </c>
      <c r="C109" s="40" t="n">
        <v>7</v>
      </c>
      <c r="E109" s="14" t="s">
        <v>350</v>
      </c>
    </row>
    <row r="110" customFormat="false" ht="15" hidden="false" customHeight="false" outlineLevel="0" collapsed="false">
      <c r="A110" s="7" t="s">
        <v>351</v>
      </c>
      <c r="B110" s="14" t="s">
        <v>329</v>
      </c>
      <c r="C110" s="63" t="n">
        <f aca="false">ROUND(C13/12,1)+C108/12+C109</f>
        <v>11.5</v>
      </c>
      <c r="E110" s="14" t="s">
        <v>352</v>
      </c>
    </row>
    <row r="111" customFormat="false" ht="15" hidden="false" customHeight="false" outlineLevel="0" collapsed="false">
      <c r="A111" s="7" t="s">
        <v>353</v>
      </c>
      <c r="B111" s="14" t="s">
        <v>235</v>
      </c>
      <c r="C111" s="64" t="n">
        <v>0.45</v>
      </c>
      <c r="E111" s="14" t="s">
        <v>354</v>
      </c>
    </row>
    <row r="112" customFormat="false" ht="15" hidden="false" customHeight="false" outlineLevel="0" collapsed="false">
      <c r="A112" s="7" t="s">
        <v>355</v>
      </c>
      <c r="B112" s="14" t="s">
        <v>162</v>
      </c>
      <c r="C112" s="42" t="n">
        <f aca="false">'Control Panel'!$G$34</f>
        <v>1780</v>
      </c>
      <c r="E112" s="14" t="s">
        <v>356</v>
      </c>
    </row>
    <row r="113" customFormat="false" ht="15" hidden="false" customHeight="false" outlineLevel="0" collapsed="false">
      <c r="A113" s="7" t="s">
        <v>357</v>
      </c>
      <c r="B113" s="14" t="s">
        <v>162</v>
      </c>
      <c r="C113" s="40" t="n">
        <v>900</v>
      </c>
      <c r="E113" s="14" t="s">
        <v>358</v>
      </c>
    </row>
    <row r="114" customFormat="false" ht="15" hidden="false" customHeight="false" outlineLevel="0" collapsed="false">
      <c r="A114" s="7" t="s">
        <v>359</v>
      </c>
      <c r="B114" s="14" t="s">
        <v>129</v>
      </c>
      <c r="C114" s="61" t="n">
        <v>0.115</v>
      </c>
    </row>
    <row r="116" customFormat="false" ht="15" hidden="false" customHeight="false" outlineLevel="0" collapsed="false">
      <c r="A116" s="50" t="s">
        <v>360</v>
      </c>
      <c r="B116" s="50" t="s">
        <v>122</v>
      </c>
      <c r="C116" s="51" t="s">
        <v>241</v>
      </c>
      <c r="D116" s="51" t="s">
        <v>242</v>
      </c>
      <c r="E116" s="51" t="s">
        <v>243</v>
      </c>
      <c r="F116" s="51" t="s">
        <v>244</v>
      </c>
      <c r="G116" s="51" t="s">
        <v>245</v>
      </c>
      <c r="H116" s="51" t="s">
        <v>246</v>
      </c>
      <c r="I116" s="51" t="s">
        <v>247</v>
      </c>
      <c r="J116" s="51" t="s">
        <v>248</v>
      </c>
      <c r="K116" s="51" t="s">
        <v>249</v>
      </c>
      <c r="L116" s="51" t="s">
        <v>250</v>
      </c>
    </row>
    <row r="117" customFormat="false" ht="15" hidden="false" customHeight="false" outlineLevel="0" collapsed="false">
      <c r="A117" s="52" t="s">
        <v>251</v>
      </c>
      <c r="B117" s="9"/>
      <c r="C117" s="53" t="s">
        <v>252</v>
      </c>
      <c r="D117" s="53" t="s">
        <v>253</v>
      </c>
      <c r="E117" s="53" t="s">
        <v>254</v>
      </c>
      <c r="F117" s="53" t="s">
        <v>255</v>
      </c>
      <c r="G117" s="53" t="s">
        <v>256</v>
      </c>
      <c r="H117" s="53" t="s">
        <v>257</v>
      </c>
      <c r="I117" s="53" t="s">
        <v>258</v>
      </c>
      <c r="J117" s="53" t="s">
        <v>259</v>
      </c>
      <c r="K117" s="53" t="s">
        <v>260</v>
      </c>
      <c r="L117" s="53" t="s">
        <v>261</v>
      </c>
    </row>
    <row r="118" customFormat="false" ht="15" hidden="false" customHeight="false" outlineLevel="0" collapsed="false">
      <c r="A118" s="7" t="s">
        <v>361</v>
      </c>
      <c r="B118" s="14" t="s">
        <v>129</v>
      </c>
      <c r="C118" s="54" t="n">
        <v>0</v>
      </c>
      <c r="D118" s="54" t="n">
        <v>0</v>
      </c>
      <c r="E118" s="54" t="n">
        <v>0</v>
      </c>
      <c r="F118" s="54" t="n">
        <v>0.06</v>
      </c>
      <c r="G118" s="54" t="n">
        <v>0.1</v>
      </c>
      <c r="H118" s="54" t="n">
        <v>0.13</v>
      </c>
      <c r="I118" s="54" t="n">
        <v>0.15</v>
      </c>
      <c r="J118" s="54" t="n">
        <v>0.17</v>
      </c>
      <c r="K118" s="54" t="n">
        <v>0.19</v>
      </c>
      <c r="L118" s="54" t="n">
        <v>0.2</v>
      </c>
      <c r="N118" s="55" t="n">
        <f aca="false">SUM(C118:L118)</f>
        <v>1</v>
      </c>
      <c r="O118" s="18" t="str">
        <f aca="false">IF(ABS(N118-1)&lt;0.0001,"OK","ERROR")</f>
        <v>OK</v>
      </c>
    </row>
    <row r="119" customFormat="false" ht="15" hidden="false" customHeight="false" outlineLevel="0" collapsed="false">
      <c r="A119" s="7" t="s">
        <v>362</v>
      </c>
      <c r="B119" s="14" t="s">
        <v>129</v>
      </c>
      <c r="C119" s="54" t="n">
        <v>0.35</v>
      </c>
      <c r="D119" s="54" t="n">
        <v>0.55</v>
      </c>
      <c r="E119" s="54" t="n">
        <v>0.7</v>
      </c>
      <c r="F119" s="54" t="n">
        <v>0.75</v>
      </c>
      <c r="G119" s="54" t="n">
        <v>0.8</v>
      </c>
      <c r="H119" s="54" t="n">
        <v>0.8</v>
      </c>
      <c r="I119" s="54" t="n">
        <v>0.8</v>
      </c>
      <c r="J119" s="54" t="n">
        <v>0.8</v>
      </c>
      <c r="K119" s="54" t="n">
        <v>0.8</v>
      </c>
      <c r="L119" s="54" t="n">
        <v>0.8</v>
      </c>
    </row>
    <row r="121" customFormat="false" ht="15" hidden="false" customHeight="false" outlineLevel="0" collapsed="false">
      <c r="A121" s="19" t="s">
        <v>363</v>
      </c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</row>
    <row r="122" customFormat="false" ht="15" hidden="false" customHeight="false" outlineLevel="0" collapsed="false">
      <c r="A122" s="7" t="s">
        <v>364</v>
      </c>
      <c r="B122" s="14" t="s">
        <v>129</v>
      </c>
      <c r="C122" s="61" t="n">
        <v>0.125</v>
      </c>
      <c r="E122" s="14" t="s">
        <v>365</v>
      </c>
    </row>
    <row r="123" customFormat="false" ht="15" hidden="false" customHeight="false" outlineLevel="0" collapsed="false">
      <c r="A123" s="7" t="s">
        <v>366</v>
      </c>
      <c r="B123" s="14" t="s">
        <v>129</v>
      </c>
      <c r="C123" s="56" t="n">
        <v>0.05</v>
      </c>
      <c r="E123" s="14" t="s">
        <v>367</v>
      </c>
    </row>
    <row r="124" customFormat="false" ht="15" hidden="false" customHeight="false" outlineLevel="0" collapsed="false">
      <c r="A124" s="7" t="s">
        <v>152</v>
      </c>
      <c r="B124" s="14" t="s">
        <v>132</v>
      </c>
      <c r="C124" s="65" t="n">
        <f aca="false">'Control Panel'!$G$28</f>
        <v>13</v>
      </c>
      <c r="E124" s="14" t="s">
        <v>368</v>
      </c>
    </row>
    <row r="125" customFormat="false" ht="15" hidden="false" customHeight="false" outlineLevel="0" collapsed="false">
      <c r="A125" s="7" t="s">
        <v>369</v>
      </c>
      <c r="B125" s="14" t="s">
        <v>129</v>
      </c>
      <c r="C125" s="56" t="n">
        <v>0.18</v>
      </c>
      <c r="E125" s="14" t="s">
        <v>370</v>
      </c>
    </row>
    <row r="126" customFormat="false" ht="15" hidden="false" customHeight="false" outlineLevel="0" collapsed="false">
      <c r="A126" s="7" t="s">
        <v>371</v>
      </c>
      <c r="B126" s="14" t="s">
        <v>132</v>
      </c>
      <c r="C126" s="66" t="n">
        <v>1.25</v>
      </c>
      <c r="E126" s="14" t="s">
        <v>372</v>
      </c>
    </row>
    <row r="128" customFormat="false" ht="15" hidden="false" customHeight="false" outlineLevel="0" collapsed="false">
      <c r="A128" s="14" t="s">
        <v>373</v>
      </c>
    </row>
    <row r="129" customFormat="false" ht="15" hidden="false" customHeight="false" outlineLevel="0" collapsed="false">
      <c r="A129" s="14" t="s">
        <v>374</v>
      </c>
    </row>
    <row r="130" customFormat="false" ht="15" hidden="false" customHeight="false" outlineLevel="0" collapsed="false">
      <c r="A130" s="14" t="s">
        <v>375</v>
      </c>
    </row>
    <row r="131" customFormat="false" ht="15" hidden="false" customHeight="false" outlineLevel="0" collapsed="false">
      <c r="A131" s="14" t="s">
        <v>376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O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4"/>
    <col collapsed="false" customWidth="true" hidden="false" outlineLevel="0" max="3" min="3" style="0" width="15"/>
    <col collapsed="false" customWidth="true" hidden="false" outlineLevel="0" max="4" min="4" style="0" width="13"/>
    <col collapsed="false" customWidth="true" hidden="false" outlineLevel="0" max="5" min="5" style="0" width="3"/>
    <col collapsed="false" customWidth="true" hidden="false" outlineLevel="0" max="6" min="6" style="0" width="70"/>
    <col collapsed="false" customWidth="true" hidden="false" outlineLevel="0" max="16" min="7" style="0" width="13"/>
  </cols>
  <sheetData>
    <row r="1" customFormat="false" ht="24" hidden="false" customHeight="true" outlineLevel="0" collapsed="false">
      <c r="A1" s="15" t="s">
        <v>377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" hidden="false" customHeight="false" outlineLevel="0" collapsed="false">
      <c r="A2" s="16" t="s">
        <v>378</v>
      </c>
    </row>
    <row r="4" customFormat="false" ht="15" hidden="false" customHeight="false" outlineLevel="0" collapsed="false">
      <c r="A4" s="19" t="s">
        <v>379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</row>
    <row r="5" customFormat="false" ht="27.75" hidden="false" customHeight="true" outlineLevel="0" collapsed="false">
      <c r="A5" s="44" t="s">
        <v>380</v>
      </c>
      <c r="B5" s="44" t="s">
        <v>381</v>
      </c>
      <c r="C5" s="44" t="s">
        <v>382</v>
      </c>
      <c r="D5" s="44" t="s">
        <v>216</v>
      </c>
    </row>
    <row r="6" customFormat="false" ht="15" hidden="false" customHeight="false" outlineLevel="0" collapsed="false">
      <c r="A6" s="7" t="s">
        <v>383</v>
      </c>
      <c r="B6" s="14" t="s">
        <v>384</v>
      </c>
      <c r="C6" s="59" t="n">
        <f aca="false">2*550</f>
        <v>1100</v>
      </c>
      <c r="D6" s="45" t="n">
        <f aca="false">IFERROR(C6/$C$25,0)</f>
        <v>0.0993003103233145</v>
      </c>
    </row>
    <row r="7" customFormat="false" ht="15" hidden="false" customHeight="false" outlineLevel="0" collapsed="false">
      <c r="A7" s="7" t="s">
        <v>385</v>
      </c>
      <c r="B7" s="14" t="s">
        <v>386</v>
      </c>
      <c r="C7" s="59" t="n">
        <f aca="false">150*(1+'Control Panel'!$G$25)</f>
        <v>150</v>
      </c>
      <c r="D7" s="45" t="n">
        <f aca="false">IFERROR(C7/$C$25,0)</f>
        <v>0.0135409514077247</v>
      </c>
    </row>
    <row r="8" customFormat="false" ht="15" hidden="false" customHeight="false" outlineLevel="0" collapsed="false">
      <c r="A8" s="7" t="s">
        <v>387</v>
      </c>
      <c r="B8" s="14" t="s">
        <v>388</v>
      </c>
      <c r="C8" s="59" t="n">
        <f aca="false">Assumptions!$C$6*2700/100000*(1+'Control Panel'!$G$25)</f>
        <v>2835</v>
      </c>
      <c r="D8" s="45" t="n">
        <f aca="false">IFERROR(C8/$C$25,0)</f>
        <v>0.255923981605997</v>
      </c>
    </row>
    <row r="9" customFormat="false" ht="15" hidden="false" customHeight="false" outlineLevel="0" collapsed="false">
      <c r="A9" s="7" t="s">
        <v>389</v>
      </c>
      <c r="B9" s="14" t="s">
        <v>390</v>
      </c>
      <c r="C9" s="59" t="n">
        <f aca="false">Assumptions!$C$6*950/100000*(1+'Control Panel'!$G$25)</f>
        <v>997.5</v>
      </c>
      <c r="D9" s="45" t="n">
        <f aca="false">IFERROR(C9/$C$25,0)</f>
        <v>0.0900473268613693</v>
      </c>
    </row>
    <row r="10" customFormat="false" ht="15" hidden="false" customHeight="false" outlineLevel="0" collapsed="false">
      <c r="A10" s="7" t="s">
        <v>391</v>
      </c>
      <c r="B10" s="14" t="s">
        <v>392</v>
      </c>
      <c r="C10" s="59" t="n">
        <f aca="false">Assumptions!$C$6*520/100000*(1+'Control Panel'!$G$25)</f>
        <v>546</v>
      </c>
      <c r="D10" s="45" t="n">
        <f aca="false">IFERROR(C10/$C$25,0)</f>
        <v>0.0492890631241179</v>
      </c>
    </row>
    <row r="11" customFormat="false" ht="15" hidden="false" customHeight="false" outlineLevel="0" collapsed="false">
      <c r="A11" s="7" t="s">
        <v>393</v>
      </c>
      <c r="B11" s="14" t="s">
        <v>394</v>
      </c>
      <c r="C11" s="59" t="n">
        <f aca="false">2650*(1+'Control Panel'!$G$25)</f>
        <v>2650</v>
      </c>
      <c r="D11" s="45" t="n">
        <f aca="false">IFERROR(C11/$C$25,0)</f>
        <v>0.239223474869803</v>
      </c>
    </row>
    <row r="12" customFormat="false" ht="15" hidden="false" customHeight="false" outlineLevel="0" collapsed="false">
      <c r="A12" s="7" t="s">
        <v>395</v>
      </c>
      <c r="B12" s="14" t="s">
        <v>396</v>
      </c>
      <c r="C12" s="59" t="n">
        <f aca="false">620*(1+'Control Panel'!$G$25)</f>
        <v>620</v>
      </c>
      <c r="D12" s="45" t="n">
        <f aca="false">IFERROR(C12/$C$25,0)</f>
        <v>0.0559692658185954</v>
      </c>
    </row>
    <row r="13" customFormat="false" ht="15" hidden="false" customHeight="false" outlineLevel="0" collapsed="false">
      <c r="A13" s="7" t="s">
        <v>397</v>
      </c>
      <c r="B13" s="14" t="s">
        <v>398</v>
      </c>
      <c r="C13" s="59" t="n">
        <f aca="false">300*(1+'Control Panel'!$G$25)</f>
        <v>300</v>
      </c>
      <c r="D13" s="45" t="n">
        <f aca="false">IFERROR(C13/$C$25,0)</f>
        <v>0.0270819028154494</v>
      </c>
    </row>
    <row r="14" customFormat="false" ht="15" hidden="false" customHeight="false" outlineLevel="0" collapsed="false">
      <c r="A14" s="7" t="s">
        <v>399</v>
      </c>
      <c r="B14" s="14" t="s">
        <v>400</v>
      </c>
      <c r="C14" s="59" t="n">
        <f aca="false">185*(1+'Control Panel'!$G$25)</f>
        <v>185</v>
      </c>
      <c r="D14" s="45" t="n">
        <f aca="false">IFERROR(C14/$C$25,0)</f>
        <v>0.0167005067361938</v>
      </c>
    </row>
    <row r="15" customFormat="false" ht="15" hidden="false" customHeight="false" outlineLevel="0" collapsed="false">
      <c r="A15" s="7" t="s">
        <v>401</v>
      </c>
      <c r="B15" s="14" t="s">
        <v>402</v>
      </c>
      <c r="C15" s="59" t="n">
        <f aca="false">450*(1+'Control Panel'!$G$25)</f>
        <v>450</v>
      </c>
      <c r="D15" s="45" t="n">
        <f aca="false">IFERROR(C15/$C$25,0)</f>
        <v>0.0406228542231741</v>
      </c>
    </row>
    <row r="16" customFormat="false" ht="15" hidden="false" customHeight="false" outlineLevel="0" collapsed="false">
      <c r="A16" s="7" t="s">
        <v>403</v>
      </c>
      <c r="B16" s="14" t="s">
        <v>404</v>
      </c>
      <c r="C16" s="59" t="n">
        <f aca="false">0.04*(SUM(C7:C14))</f>
        <v>331.34</v>
      </c>
      <c r="D16" s="45" t="n">
        <f aca="false">IFERROR(C16/$C$25,0)</f>
        <v>0.02991105892957</v>
      </c>
    </row>
    <row r="17" customFormat="false" ht="15" hidden="false" customHeight="false" outlineLevel="0" collapsed="false">
      <c r="A17" s="7" t="s">
        <v>405</v>
      </c>
      <c r="B17" s="14" t="s">
        <v>406</v>
      </c>
      <c r="C17" s="40" t="n">
        <v>350</v>
      </c>
      <c r="D17" s="45" t="n">
        <f aca="false">IFERROR(C17/$C$25,0)</f>
        <v>0.031595553284691</v>
      </c>
    </row>
    <row r="18" customFormat="false" ht="15" hidden="false" customHeight="false" outlineLevel="0" collapsed="false">
      <c r="A18" s="35" t="s">
        <v>407</v>
      </c>
      <c r="C18" s="67" t="n">
        <f aca="false">SUM(C6:C17)</f>
        <v>10514.84</v>
      </c>
      <c r="D18" s="45" t="n">
        <f aca="false">IFERROR(C18/$C$25,0)</f>
        <v>0.94920625</v>
      </c>
    </row>
    <row r="19" customFormat="false" ht="15" hidden="false" customHeight="false" outlineLevel="0" collapsed="false">
      <c r="D19" s="45" t="n">
        <f aca="false">IFERROR(C19/$C$25,0)</f>
        <v>0</v>
      </c>
    </row>
    <row r="20" customFormat="false" ht="15" hidden="false" customHeight="false" outlineLevel="0" collapsed="false">
      <c r="A20" s="8" t="s">
        <v>408</v>
      </c>
      <c r="B20" s="9"/>
      <c r="C20" s="9"/>
      <c r="D20" s="68" t="n">
        <f aca="false">IFERROR(C20/$C$25,0)</f>
        <v>0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customFormat="false" ht="15" hidden="false" customHeight="false" outlineLevel="0" collapsed="false">
      <c r="A21" s="14" t="s">
        <v>409</v>
      </c>
      <c r="D21" s="45" t="n">
        <f aca="false">IFERROR(C21/$C$25,0)</f>
        <v>0</v>
      </c>
    </row>
    <row r="22" customFormat="false" ht="15" hidden="false" customHeight="false" outlineLevel="0" collapsed="false">
      <c r="A22" s="14" t="s">
        <v>410</v>
      </c>
      <c r="D22" s="45" t="n">
        <f aca="false">IFERROR(C22/$C$25,0)</f>
        <v>0</v>
      </c>
    </row>
    <row r="23" customFormat="false" ht="15" hidden="false" customHeight="false" outlineLevel="0" collapsed="false">
      <c r="A23" s="7" t="s">
        <v>411</v>
      </c>
      <c r="C23" s="69" t="n">
        <f aca="false">Assumptions!$C$105*Assumptions!$C$106*(Assumptions!$C$13/12)*Assumptions!$C$111</f>
        <v>0.05079375</v>
      </c>
      <c r="D23" s="45" t="n">
        <f aca="false">IFERROR(C23/$C$25,0)</f>
        <v>4.58530467044078E-006</v>
      </c>
    </row>
    <row r="24" customFormat="false" ht="15" hidden="false" customHeight="false" outlineLevel="0" collapsed="false">
      <c r="A24" s="7" t="s">
        <v>412</v>
      </c>
      <c r="B24" s="14" t="s">
        <v>413</v>
      </c>
      <c r="C24" s="59" t="n">
        <f aca="false">C23*C18/(1-C23)</f>
        <v>562.668181177695</v>
      </c>
      <c r="D24" s="45" t="n">
        <f aca="false">IFERROR(C24/$C$25,0)</f>
        <v>0.05079375</v>
      </c>
    </row>
    <row r="25" customFormat="false" ht="15" hidden="false" customHeight="false" outlineLevel="0" collapsed="false">
      <c r="A25" s="70" t="s">
        <v>414</v>
      </c>
      <c r="C25" s="71" t="n">
        <f aca="false">C18+C24</f>
        <v>11077.5081811777</v>
      </c>
      <c r="D25" s="72" t="n">
        <f aca="false">C25/$C$25</f>
        <v>1</v>
      </c>
      <c r="F25" s="14" t="s">
        <v>415</v>
      </c>
    </row>
    <row r="27" customFormat="false" ht="15" hidden="false" customHeight="false" outlineLevel="0" collapsed="false">
      <c r="A27" s="6" t="s">
        <v>416</v>
      </c>
      <c r="C27" s="73" t="n">
        <f aca="false">C25/Assumptions!$C$5</f>
        <v>110.775081811777</v>
      </c>
      <c r="F27" s="14" t="s">
        <v>417</v>
      </c>
    </row>
    <row r="28" customFormat="false" ht="15" hidden="false" customHeight="false" outlineLevel="0" collapsed="false">
      <c r="A28" s="6" t="s">
        <v>418</v>
      </c>
      <c r="C28" s="73" t="n">
        <f aca="false">(C25-C6)/Assumptions!$C$5</f>
        <v>99.7750818117769</v>
      </c>
    </row>
    <row r="30" customFormat="false" ht="15" hidden="false" customHeight="false" outlineLevel="0" collapsed="false">
      <c r="A30" s="19" t="s">
        <v>419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</row>
    <row r="31" customFormat="false" ht="27.75" hidden="false" customHeight="true" outlineLevel="0" collapsed="false">
      <c r="A31" s="44" t="s">
        <v>420</v>
      </c>
      <c r="B31" s="44" t="s">
        <v>381</v>
      </c>
      <c r="C31" s="44" t="s">
        <v>382</v>
      </c>
      <c r="D31" s="44" t="s">
        <v>421</v>
      </c>
    </row>
    <row r="32" customFormat="false" ht="15" hidden="false" customHeight="false" outlineLevel="0" collapsed="false">
      <c r="A32" s="7" t="s">
        <v>422</v>
      </c>
      <c r="B32" s="14" t="s">
        <v>423</v>
      </c>
      <c r="C32" s="42" t="n">
        <f aca="false">C25*Assumptions!$C$105</f>
        <v>7754.25572682439</v>
      </c>
      <c r="D32" s="45" t="n">
        <f aca="false">C32/$C$25</f>
        <v>0.7</v>
      </c>
    </row>
    <row r="33" customFormat="false" ht="15" hidden="false" customHeight="false" outlineLevel="0" collapsed="false">
      <c r="A33" s="7" t="s">
        <v>424</v>
      </c>
      <c r="C33" s="59" t="n">
        <f aca="false">C25-C32</f>
        <v>3323.25245435331</v>
      </c>
      <c r="D33" s="45" t="n">
        <f aca="false">C33/$C$25</f>
        <v>0.3</v>
      </c>
    </row>
    <row r="34" customFormat="false" ht="15" hidden="false" customHeight="false" outlineLevel="0" collapsed="false">
      <c r="A34" s="35" t="s">
        <v>425</v>
      </c>
      <c r="C34" s="67" t="n">
        <f aca="false">C32+C33</f>
        <v>11077.5081811777</v>
      </c>
      <c r="D34" s="74" t="n">
        <f aca="false">C34/$C$25</f>
        <v>1</v>
      </c>
    </row>
    <row r="35" customFormat="false" ht="15" hidden="false" customHeight="false" outlineLevel="0" collapsed="false">
      <c r="A35" s="7" t="s">
        <v>426</v>
      </c>
      <c r="C35" s="37" t="str">
        <f aca="false">IF(ABS(C34-C25)&lt;0.01,"OK","ERROR")</f>
        <v>OK</v>
      </c>
    </row>
    <row r="37" customFormat="false" ht="15" hidden="false" customHeight="false" outlineLevel="0" collapsed="false">
      <c r="A37" s="8" t="s">
        <v>427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</row>
    <row r="38" customFormat="false" ht="15" hidden="false" customHeight="false" outlineLevel="0" collapsed="false">
      <c r="A38" s="7" t="s">
        <v>428</v>
      </c>
      <c r="B38" s="14" t="s">
        <v>429</v>
      </c>
      <c r="C38" s="42" t="n">
        <f aca="false">Assumptions!$C$112</f>
        <v>1780</v>
      </c>
      <c r="F38" s="14" t="s">
        <v>430</v>
      </c>
    </row>
    <row r="39" customFormat="false" ht="15" hidden="false" customHeight="false" outlineLevel="0" collapsed="false">
      <c r="A39" s="70" t="s">
        <v>431</v>
      </c>
      <c r="C39" s="71" t="n">
        <f aca="false">C34+C38</f>
        <v>12857.5081811777</v>
      </c>
    </row>
    <row r="40" customFormat="false" ht="15" hidden="false" customHeight="false" outlineLevel="0" collapsed="false">
      <c r="A40" s="6" t="s">
        <v>432</v>
      </c>
      <c r="C40" s="75" t="n">
        <f aca="false">C32/C39</f>
        <v>0.603091642451837</v>
      </c>
      <c r="F40" s="14" t="s">
        <v>433</v>
      </c>
    </row>
    <row r="41" customFormat="false" ht="15" hidden="false" customHeight="false" outlineLevel="0" collapsed="false">
      <c r="A41" s="6" t="s">
        <v>434</v>
      </c>
      <c r="C41" s="43" t="n">
        <f aca="false">C33+C38</f>
        <v>5103.25245435331</v>
      </c>
      <c r="D41" s="74" t="n">
        <f aca="false">C41/C39</f>
        <v>0.396908357548163</v>
      </c>
    </row>
    <row r="42" customFormat="false" ht="15" hidden="false" customHeight="false" outlineLevel="0" collapsed="false">
      <c r="A42" s="7" t="s">
        <v>435</v>
      </c>
      <c r="C42" s="59" t="n">
        <f aca="false">C32*Assumptions!$C$107</f>
        <v>77.5425572682439</v>
      </c>
    </row>
    <row r="44" customFormat="false" ht="15" hidden="false" customHeight="false" outlineLevel="0" collapsed="false">
      <c r="A44" s="19" t="s">
        <v>436</v>
      </c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</row>
    <row r="45" customFormat="false" ht="27.75" hidden="false" customHeight="true" outlineLevel="0" collapsed="false">
      <c r="A45" s="44" t="s">
        <v>437</v>
      </c>
      <c r="B45" s="44" t="s">
        <v>438</v>
      </c>
      <c r="C45" s="44" t="s">
        <v>162</v>
      </c>
      <c r="D45" s="44" t="s">
        <v>439</v>
      </c>
    </row>
    <row r="46" customFormat="false" ht="15" hidden="false" customHeight="false" outlineLevel="0" collapsed="false">
      <c r="A46" s="7" t="s">
        <v>440</v>
      </c>
      <c r="B46" s="28" t="n">
        <v>1</v>
      </c>
      <c r="C46" s="40" t="n">
        <v>650</v>
      </c>
      <c r="D46" s="14" t="s">
        <v>441</v>
      </c>
    </row>
    <row r="47" customFormat="false" ht="15" hidden="false" customHeight="false" outlineLevel="0" collapsed="false">
      <c r="A47" s="7" t="s">
        <v>442</v>
      </c>
      <c r="B47" s="28" t="n">
        <v>1</v>
      </c>
      <c r="C47" s="40" t="n">
        <v>420</v>
      </c>
      <c r="D47" s="14"/>
    </row>
    <row r="48" customFormat="false" ht="15" hidden="false" customHeight="false" outlineLevel="0" collapsed="false">
      <c r="A48" s="7" t="s">
        <v>443</v>
      </c>
      <c r="B48" s="28" t="n">
        <v>4</v>
      </c>
      <c r="C48" s="40" t="n">
        <v>420</v>
      </c>
      <c r="D48" s="14" t="s">
        <v>444</v>
      </c>
    </row>
    <row r="49" customFormat="false" ht="15" hidden="false" customHeight="false" outlineLevel="0" collapsed="false">
      <c r="A49" s="7" t="s">
        <v>445</v>
      </c>
      <c r="B49" s="28" t="n">
        <v>33</v>
      </c>
      <c r="C49" s="40" t="n">
        <v>380</v>
      </c>
      <c r="D49" s="14" t="s">
        <v>446</v>
      </c>
    </row>
    <row r="50" customFormat="false" ht="15" hidden="false" customHeight="false" outlineLevel="0" collapsed="false">
      <c r="A50" s="7" t="s">
        <v>447</v>
      </c>
      <c r="B50" s="28" t="n">
        <v>3</v>
      </c>
      <c r="C50" s="40" t="n">
        <v>175</v>
      </c>
      <c r="D50" s="14"/>
    </row>
    <row r="51" customFormat="false" ht="15" hidden="false" customHeight="false" outlineLevel="0" collapsed="false">
      <c r="A51" s="7" t="s">
        <v>448</v>
      </c>
      <c r="B51" s="28" t="n">
        <v>4</v>
      </c>
      <c r="C51" s="40" t="n">
        <v>130</v>
      </c>
      <c r="D51" s="14"/>
    </row>
    <row r="52" customFormat="false" ht="15" hidden="false" customHeight="false" outlineLevel="0" collapsed="false">
      <c r="A52" s="7" t="s">
        <v>449</v>
      </c>
      <c r="B52" s="28" t="n">
        <v>3</v>
      </c>
      <c r="C52" s="40" t="n">
        <v>115</v>
      </c>
      <c r="D52" s="14"/>
    </row>
    <row r="53" customFormat="false" ht="15" hidden="false" customHeight="false" outlineLevel="0" collapsed="false">
      <c r="A53" s="7" t="s">
        <v>450</v>
      </c>
      <c r="B53" s="28" t="n">
        <v>1</v>
      </c>
      <c r="C53" s="40" t="n">
        <v>160</v>
      </c>
      <c r="D53" s="14" t="s">
        <v>451</v>
      </c>
    </row>
    <row r="54" customFormat="false" ht="15" hidden="false" customHeight="false" outlineLevel="0" collapsed="false">
      <c r="A54" s="7" t="s">
        <v>452</v>
      </c>
      <c r="B54" s="28" t="n">
        <v>10</v>
      </c>
      <c r="C54" s="40" t="n">
        <v>85</v>
      </c>
      <c r="D54" s="14"/>
    </row>
    <row r="55" customFormat="false" ht="15" hidden="false" customHeight="false" outlineLevel="0" collapsed="false">
      <c r="A55" s="7" t="s">
        <v>453</v>
      </c>
      <c r="B55" s="28" t="n">
        <v>1</v>
      </c>
      <c r="C55" s="40" t="n">
        <v>65</v>
      </c>
      <c r="D55" s="14"/>
    </row>
    <row r="56" customFormat="false" ht="15" hidden="false" customHeight="false" outlineLevel="0" collapsed="false">
      <c r="A56" s="7" t="s">
        <v>454</v>
      </c>
      <c r="B56" s="28" t="n">
        <v>1</v>
      </c>
      <c r="C56" s="40" t="n">
        <v>50</v>
      </c>
      <c r="D56" s="14"/>
    </row>
    <row r="57" customFormat="false" ht="15" hidden="false" customHeight="false" outlineLevel="0" collapsed="false">
      <c r="A57" s="35" t="s">
        <v>455</v>
      </c>
      <c r="C57" s="67" t="n">
        <f aca="false">SUM(C46:C56)</f>
        <v>2650</v>
      </c>
    </row>
    <row r="58" customFormat="false" ht="15" hidden="false" customHeight="false" outlineLevel="0" collapsed="false">
      <c r="A58" s="7" t="s">
        <v>456</v>
      </c>
      <c r="C58" s="42" t="n">
        <f aca="false">Assumptions!$C$95</f>
        <v>550</v>
      </c>
      <c r="D58" s="14" t="s">
        <v>457</v>
      </c>
    </row>
    <row r="60" customFormat="false" ht="15" hidden="false" customHeight="false" outlineLevel="0" collapsed="false">
      <c r="A60" s="19" t="s">
        <v>458</v>
      </c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</row>
    <row r="61" customFormat="false" ht="15" hidden="false" customHeight="false" outlineLevel="0" collapsed="false">
      <c r="A61" s="14" t="s">
        <v>459</v>
      </c>
    </row>
    <row r="62" customFormat="false" ht="15" hidden="false" customHeight="false" outlineLevel="0" collapsed="false">
      <c r="A62" s="7" t="s">
        <v>460</v>
      </c>
      <c r="C62" s="59" t="n">
        <f aca="false">SUM(C7:C14)</f>
        <v>8283.5</v>
      </c>
    </row>
    <row r="63" customFormat="false" ht="15" hidden="false" customHeight="false" outlineLevel="0" collapsed="false">
      <c r="A63" s="7" t="s">
        <v>461</v>
      </c>
      <c r="C63" s="76" t="n">
        <f aca="false">(C16+C24)/C62</f>
        <v>0.10792638150271</v>
      </c>
    </row>
    <row r="64" customFormat="false" ht="27.75" hidden="false" customHeight="true" outlineLevel="0" collapsed="false">
      <c r="A64" s="44" t="s">
        <v>462</v>
      </c>
      <c r="B64" s="44" t="s">
        <v>463</v>
      </c>
      <c r="C64" s="44" t="s">
        <v>464</v>
      </c>
      <c r="D64" s="44" t="s">
        <v>465</v>
      </c>
    </row>
    <row r="65" customFormat="false" ht="15" hidden="false" customHeight="false" outlineLevel="0" collapsed="false">
      <c r="A65" s="7" t="s">
        <v>466</v>
      </c>
      <c r="B65" s="59" t="n">
        <f aca="false">C7+C8+C9+C10</f>
        <v>4528.5</v>
      </c>
      <c r="C65" s="43" t="n">
        <f aca="false">B65*(1+$C$63)</f>
        <v>5017.24461863502</v>
      </c>
      <c r="D65" s="77" t="n">
        <f aca="false">Assumptions!$C$88</f>
        <v>0.0334</v>
      </c>
    </row>
    <row r="66" customFormat="false" ht="15" hidden="false" customHeight="false" outlineLevel="0" collapsed="false">
      <c r="A66" s="7" t="s">
        <v>393</v>
      </c>
      <c r="B66" s="59" t="n">
        <f aca="false">C11</f>
        <v>2650</v>
      </c>
      <c r="C66" s="43" t="n">
        <f aca="false">B66*(1+$C$63)</f>
        <v>2936.00491098218</v>
      </c>
      <c r="D66" s="77" t="n">
        <f aca="false">Assumptions!$C$89</f>
        <v>0.075</v>
      </c>
    </row>
    <row r="67" customFormat="false" ht="15" hidden="false" customHeight="false" outlineLevel="0" collapsed="false">
      <c r="A67" s="7" t="s">
        <v>395</v>
      </c>
      <c r="B67" s="59" t="n">
        <f aca="false">C12</f>
        <v>620</v>
      </c>
      <c r="C67" s="43" t="n">
        <f aca="false">B67*(1+$C$63)</f>
        <v>686.91435653168</v>
      </c>
      <c r="D67" s="77" t="n">
        <f aca="false">Assumptions!$C$90</f>
        <v>0.1</v>
      </c>
    </row>
    <row r="68" customFormat="false" ht="15" hidden="false" customHeight="false" outlineLevel="0" collapsed="false">
      <c r="A68" s="7" t="s">
        <v>397</v>
      </c>
      <c r="B68" s="59" t="n">
        <f aca="false">C13</f>
        <v>300</v>
      </c>
      <c r="C68" s="43" t="n">
        <f aca="false">B68*(1+$C$63)</f>
        <v>332.377914450813</v>
      </c>
      <c r="D68" s="77" t="n">
        <f aca="false">Assumptions!$C$91</f>
        <v>0.1</v>
      </c>
    </row>
    <row r="69" customFormat="false" ht="15" hidden="false" customHeight="false" outlineLevel="0" collapsed="false">
      <c r="A69" s="7" t="s">
        <v>399</v>
      </c>
      <c r="B69" s="59" t="n">
        <f aca="false">C14</f>
        <v>185</v>
      </c>
      <c r="C69" s="43" t="n">
        <f aca="false">B69*(1+$C$63)</f>
        <v>204.966380578001</v>
      </c>
      <c r="D69" s="77" t="n">
        <f aca="false">Assumptions!$C$92</f>
        <v>0.1667</v>
      </c>
    </row>
    <row r="70" customFormat="false" ht="15" hidden="false" customHeight="false" outlineLevel="0" collapsed="false">
      <c r="A70" s="7" t="s">
        <v>467</v>
      </c>
      <c r="B70" s="59" t="n">
        <f aca="false">C15</f>
        <v>450</v>
      </c>
      <c r="C70" s="43" t="n">
        <f aca="false">B70</f>
        <v>450</v>
      </c>
      <c r="D70" s="77" t="n">
        <f aca="false">1/Assumptions!$C$93</f>
        <v>0.2</v>
      </c>
    </row>
    <row r="71" customFormat="false" ht="15" hidden="false" customHeight="false" outlineLevel="0" collapsed="false">
      <c r="A71" s="7" t="s">
        <v>468</v>
      </c>
      <c r="B71" s="59" t="n">
        <f aca="false">C6</f>
        <v>1100</v>
      </c>
      <c r="C71" s="43" t="n">
        <f aca="false">B71</f>
        <v>1100</v>
      </c>
      <c r="D71" s="78" t="n">
        <v>0</v>
      </c>
    </row>
    <row r="72" customFormat="false" ht="15" hidden="false" customHeight="false" outlineLevel="0" collapsed="false">
      <c r="A72" s="35" t="s">
        <v>469</v>
      </c>
      <c r="C72" s="67" t="n">
        <f aca="false">SUM(C65:C71)</f>
        <v>10727.5081811777</v>
      </c>
    </row>
    <row r="73" customFormat="false" ht="15" hidden="false" customHeight="false" outlineLevel="0" collapsed="false">
      <c r="A73" s="7" t="s">
        <v>470</v>
      </c>
      <c r="C73" s="37" t="str">
        <f aca="false">IF(ABS(C72+C17-C25)&lt;0.01,"OK","ERROR")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O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5"/>
    <col collapsed="false" customWidth="true" hidden="false" outlineLevel="0" max="16" min="3" style="0" width="13"/>
  </cols>
  <sheetData>
    <row r="1" customFormat="false" ht="24" hidden="false" customHeight="true" outlineLevel="0" collapsed="false">
      <c r="A1" s="15" t="s">
        <v>471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" hidden="false" customHeight="false" outlineLevel="0" collapsed="false">
      <c r="A2" s="16" t="s">
        <v>472</v>
      </c>
    </row>
    <row r="4" customFormat="false" ht="15" hidden="false" customHeight="false" outlineLevel="0" collapsed="false">
      <c r="A4" s="50" t="s">
        <v>473</v>
      </c>
      <c r="B4" s="50" t="s">
        <v>381</v>
      </c>
      <c r="C4" s="51" t="s">
        <v>241</v>
      </c>
      <c r="D4" s="51" t="s">
        <v>242</v>
      </c>
      <c r="E4" s="51" t="s">
        <v>243</v>
      </c>
      <c r="F4" s="51" t="s">
        <v>244</v>
      </c>
      <c r="G4" s="51" t="s">
        <v>245</v>
      </c>
      <c r="H4" s="51" t="s">
        <v>246</v>
      </c>
      <c r="I4" s="51" t="s">
        <v>247</v>
      </c>
      <c r="J4" s="51" t="s">
        <v>248</v>
      </c>
      <c r="K4" s="51" t="s">
        <v>249</v>
      </c>
      <c r="L4" s="51" t="s">
        <v>250</v>
      </c>
    </row>
    <row r="5" customFormat="false" ht="15" hidden="false" customHeight="false" outlineLevel="0" collapsed="false">
      <c r="A5" s="52" t="s">
        <v>251</v>
      </c>
      <c r="B5" s="9"/>
      <c r="C5" s="53" t="s">
        <v>252</v>
      </c>
      <c r="D5" s="53" t="s">
        <v>253</v>
      </c>
      <c r="E5" s="53" t="s">
        <v>254</v>
      </c>
      <c r="F5" s="53" t="s">
        <v>255</v>
      </c>
      <c r="G5" s="53" t="s">
        <v>256</v>
      </c>
      <c r="H5" s="53" t="s">
        <v>257</v>
      </c>
      <c r="I5" s="53" t="s">
        <v>258</v>
      </c>
      <c r="J5" s="53" t="s">
        <v>259</v>
      </c>
      <c r="K5" s="53" t="s">
        <v>260</v>
      </c>
      <c r="L5" s="53" t="s">
        <v>261</v>
      </c>
    </row>
    <row r="6" customFormat="false" ht="15" hidden="false" customHeight="false" outlineLevel="0" collapsed="false">
      <c r="A6" s="7" t="s">
        <v>474</v>
      </c>
      <c r="B6" s="14" t="s">
        <v>162</v>
      </c>
      <c r="C6" s="79" t="n">
        <f aca="false">IF(1&gt;=3,Assumptions!$C$94*'Revenue Build'!C$43,0)</f>
        <v>0</v>
      </c>
      <c r="D6" s="79" t="n">
        <f aca="false">IF(2&gt;=3,Assumptions!$C$94*'Revenue Build'!D$43,0)</f>
        <v>0</v>
      </c>
      <c r="E6" s="79" t="n">
        <f aca="false">IF(3&gt;=3,Assumptions!$C$94*'Revenue Build'!E$43,0)</f>
        <v>144.09757995435</v>
      </c>
      <c r="F6" s="79" t="n">
        <f aca="false">IF(4&gt;=3,Assumptions!$C$94*'Revenue Build'!F$43,0)</f>
        <v>177.604710190633</v>
      </c>
      <c r="G6" s="79" t="n">
        <f aca="false">IF(5&gt;=3,Assumptions!$C$94*'Revenue Build'!G$43,0)</f>
        <v>208.789174725421</v>
      </c>
      <c r="H6" s="79" t="n">
        <f aca="false">IF(6&gt;=3,Assumptions!$C$94*'Revenue Build'!H$43,0)</f>
        <v>232.440990932421</v>
      </c>
      <c r="I6" s="79" t="n">
        <f aca="false">IF(7&gt;=3,Assumptions!$C$94*'Revenue Build'!I$43,0)</f>
        <v>252.054809246221</v>
      </c>
      <c r="J6" s="79" t="n">
        <f aca="false">IF(8&gt;=3,Assumptions!$C$94*'Revenue Build'!J$43,0)</f>
        <v>271.832592679114</v>
      </c>
      <c r="K6" s="79" t="n">
        <f aca="false">IF(9&gt;=3,Assumptions!$C$94*'Revenue Build'!K$43,0)</f>
        <v>293.680974145706</v>
      </c>
      <c r="L6" s="79" t="n">
        <f aca="false">IF(10&gt;=3,Assumptions!$C$94*'Revenue Build'!L$43,0)</f>
        <v>316.61633171363</v>
      </c>
    </row>
    <row r="7" customFormat="false" ht="15" hidden="false" customHeight="false" outlineLevel="0" collapsed="false">
      <c r="A7" s="7" t="s">
        <v>475</v>
      </c>
      <c r="B7" s="14" t="s">
        <v>162</v>
      </c>
      <c r="C7" s="79" t="n">
        <f aca="false">0</f>
        <v>0</v>
      </c>
      <c r="D7" s="79" t="n">
        <f aca="false">0</f>
        <v>0</v>
      </c>
      <c r="E7" s="79" t="n">
        <f aca="false">Assumptions!$C$95</f>
        <v>550</v>
      </c>
      <c r="F7" s="79" t="n">
        <f aca="false">0</f>
        <v>0</v>
      </c>
      <c r="G7" s="79" t="n">
        <f aca="false">0</f>
        <v>0</v>
      </c>
      <c r="H7" s="79" t="n">
        <f aca="false">0</f>
        <v>0</v>
      </c>
      <c r="I7" s="79" t="n">
        <f aca="false">0</f>
        <v>0</v>
      </c>
      <c r="J7" s="79" t="n">
        <f aca="false">0</f>
        <v>0</v>
      </c>
      <c r="K7" s="79" t="n">
        <f aca="false">0</f>
        <v>0</v>
      </c>
      <c r="L7" s="79" t="n">
        <f aca="false">0</f>
        <v>0</v>
      </c>
    </row>
    <row r="8" customFormat="false" ht="15" hidden="false" customHeight="false" outlineLevel="0" collapsed="false">
      <c r="A8" s="35" t="s">
        <v>476</v>
      </c>
      <c r="B8" s="80" t="s">
        <v>162</v>
      </c>
      <c r="C8" s="67" t="n">
        <f aca="false">C6+C7</f>
        <v>0</v>
      </c>
      <c r="D8" s="67" t="n">
        <f aca="false">D6+D7</f>
        <v>0</v>
      </c>
      <c r="E8" s="67" t="n">
        <f aca="false">E6+E7</f>
        <v>694.09757995435</v>
      </c>
      <c r="F8" s="67" t="n">
        <f aca="false">F6+F7</f>
        <v>177.604710190633</v>
      </c>
      <c r="G8" s="67" t="n">
        <f aca="false">G6+G7</f>
        <v>208.789174725421</v>
      </c>
      <c r="H8" s="67" t="n">
        <f aca="false">H6+H7</f>
        <v>232.440990932421</v>
      </c>
      <c r="I8" s="67" t="n">
        <f aca="false">I6+I7</f>
        <v>252.054809246221</v>
      </c>
      <c r="J8" s="67" t="n">
        <f aca="false">J6+J7</f>
        <v>271.832592679114</v>
      </c>
      <c r="K8" s="67" t="n">
        <f aca="false">K6+K7</f>
        <v>293.680974145706</v>
      </c>
      <c r="L8" s="67" t="n">
        <f aca="false">L6+L7</f>
        <v>316.61633171363</v>
      </c>
    </row>
    <row r="10" customFormat="false" ht="15" hidden="false" customHeight="false" outlineLevel="0" collapsed="false">
      <c r="A10" s="8" t="s">
        <v>477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customFormat="false" ht="15" hidden="false" customHeight="false" outlineLevel="0" collapsed="false">
      <c r="A11" s="7" t="s">
        <v>466</v>
      </c>
      <c r="B11" s="14" t="s">
        <v>162</v>
      </c>
      <c r="C11" s="81" t="n">
        <f aca="false">'Capex &amp; Funding'!$C$65*'Capex &amp; Funding'!$D$65</f>
        <v>167.57597026241</v>
      </c>
      <c r="D11" s="81" t="n">
        <f aca="false">'Capex &amp; Funding'!$C$65*'Capex &amp; Funding'!$D$65</f>
        <v>167.57597026241</v>
      </c>
      <c r="E11" s="81" t="n">
        <f aca="false">'Capex &amp; Funding'!$C$65*'Capex &amp; Funding'!$D$65</f>
        <v>167.57597026241</v>
      </c>
      <c r="F11" s="81" t="n">
        <f aca="false">'Capex &amp; Funding'!$C$65*'Capex &amp; Funding'!$D$65</f>
        <v>167.57597026241</v>
      </c>
      <c r="G11" s="81" t="n">
        <f aca="false">'Capex &amp; Funding'!$C$65*'Capex &amp; Funding'!$D$65</f>
        <v>167.57597026241</v>
      </c>
      <c r="H11" s="81" t="n">
        <f aca="false">'Capex &amp; Funding'!$C$65*'Capex &amp; Funding'!$D$65</f>
        <v>167.57597026241</v>
      </c>
      <c r="I11" s="81" t="n">
        <f aca="false">'Capex &amp; Funding'!$C$65*'Capex &amp; Funding'!$D$65</f>
        <v>167.57597026241</v>
      </c>
      <c r="J11" s="81" t="n">
        <f aca="false">'Capex &amp; Funding'!$C$65*'Capex &amp; Funding'!$D$65</f>
        <v>167.57597026241</v>
      </c>
      <c r="K11" s="81" t="n">
        <f aca="false">'Capex &amp; Funding'!$C$65*'Capex &amp; Funding'!$D$65</f>
        <v>167.57597026241</v>
      </c>
      <c r="L11" s="81" t="n">
        <f aca="false">'Capex &amp; Funding'!$C$65*'Capex &amp; Funding'!$D$65</f>
        <v>167.57597026241</v>
      </c>
    </row>
    <row r="12" customFormat="false" ht="15" hidden="false" customHeight="false" outlineLevel="0" collapsed="false">
      <c r="A12" s="7" t="s">
        <v>478</v>
      </c>
      <c r="B12" s="14" t="s">
        <v>162</v>
      </c>
      <c r="C12" s="81" t="n">
        <f aca="false">('Capex &amp; Funding'!$C$66)*'Capex &amp; Funding'!$D$66</f>
        <v>220.200368323664</v>
      </c>
      <c r="D12" s="81" t="n">
        <f aca="false">('Capex &amp; Funding'!$C$66)*'Capex &amp; Funding'!$D$66</f>
        <v>220.200368323664</v>
      </c>
      <c r="E12" s="81" t="n">
        <f aca="false">('Capex &amp; Funding'!$C$66+Assumptions!$C$95)*'Capex &amp; Funding'!$D$66</f>
        <v>261.450368323664</v>
      </c>
      <c r="F12" s="81" t="n">
        <f aca="false">('Capex &amp; Funding'!$C$66+Assumptions!$C$95)*'Capex &amp; Funding'!$D$66</f>
        <v>261.450368323664</v>
      </c>
      <c r="G12" s="81" t="n">
        <f aca="false">('Capex &amp; Funding'!$C$66+Assumptions!$C$95)*'Capex &amp; Funding'!$D$66</f>
        <v>261.450368323664</v>
      </c>
      <c r="H12" s="81" t="n">
        <f aca="false">('Capex &amp; Funding'!$C$66+Assumptions!$C$95)*'Capex &amp; Funding'!$D$66</f>
        <v>261.450368323664</v>
      </c>
      <c r="I12" s="81" t="n">
        <f aca="false">('Capex &amp; Funding'!$C$66+Assumptions!$C$95)*'Capex &amp; Funding'!$D$66</f>
        <v>261.450368323664</v>
      </c>
      <c r="J12" s="81" t="n">
        <f aca="false">('Capex &amp; Funding'!$C$66+Assumptions!$C$95)*'Capex &amp; Funding'!$D$66</f>
        <v>261.450368323664</v>
      </c>
      <c r="K12" s="81" t="n">
        <f aca="false">('Capex &amp; Funding'!$C$66+Assumptions!$C$95)*'Capex &amp; Funding'!$D$66</f>
        <v>261.450368323664</v>
      </c>
      <c r="L12" s="81" t="n">
        <f aca="false">('Capex &amp; Funding'!$C$66+Assumptions!$C$95)*'Capex &amp; Funding'!$D$66</f>
        <v>261.450368323664</v>
      </c>
    </row>
    <row r="13" customFormat="false" ht="15" hidden="false" customHeight="false" outlineLevel="0" collapsed="false">
      <c r="A13" s="7" t="s">
        <v>395</v>
      </c>
      <c r="B13" s="14" t="s">
        <v>162</v>
      </c>
      <c r="C13" s="81" t="n">
        <f aca="false">'Capex &amp; Funding'!$C$67*'Capex &amp; Funding'!$D$67</f>
        <v>68.691435653168</v>
      </c>
      <c r="D13" s="81" t="n">
        <f aca="false">'Capex &amp; Funding'!$C$67*'Capex &amp; Funding'!$D$67</f>
        <v>68.691435653168</v>
      </c>
      <c r="E13" s="81" t="n">
        <f aca="false">'Capex &amp; Funding'!$C$67*'Capex &amp; Funding'!$D$67</f>
        <v>68.691435653168</v>
      </c>
      <c r="F13" s="81" t="n">
        <f aca="false">'Capex &amp; Funding'!$C$67*'Capex &amp; Funding'!$D$67</f>
        <v>68.691435653168</v>
      </c>
      <c r="G13" s="81" t="n">
        <f aca="false">'Capex &amp; Funding'!$C$67*'Capex &amp; Funding'!$D$67</f>
        <v>68.691435653168</v>
      </c>
      <c r="H13" s="81" t="n">
        <f aca="false">'Capex &amp; Funding'!$C$67*'Capex &amp; Funding'!$D$67</f>
        <v>68.691435653168</v>
      </c>
      <c r="I13" s="81" t="n">
        <f aca="false">'Capex &amp; Funding'!$C$67*'Capex &amp; Funding'!$D$67</f>
        <v>68.691435653168</v>
      </c>
      <c r="J13" s="81" t="n">
        <f aca="false">'Capex &amp; Funding'!$C$67*'Capex &amp; Funding'!$D$67</f>
        <v>68.691435653168</v>
      </c>
      <c r="K13" s="81" t="n">
        <f aca="false">'Capex &amp; Funding'!$C$67*'Capex &amp; Funding'!$D$67</f>
        <v>68.691435653168</v>
      </c>
      <c r="L13" s="81" t="n">
        <f aca="false">'Capex &amp; Funding'!$C$67*'Capex &amp; Funding'!$D$67</f>
        <v>68.691435653168</v>
      </c>
    </row>
    <row r="14" customFormat="false" ht="15" hidden="false" customHeight="false" outlineLevel="0" collapsed="false">
      <c r="A14" s="7" t="s">
        <v>397</v>
      </c>
      <c r="B14" s="14" t="s">
        <v>162</v>
      </c>
      <c r="C14" s="81" t="n">
        <f aca="false">'Capex &amp; Funding'!$C$68*'Capex &amp; Funding'!$D$68</f>
        <v>33.2377914450813</v>
      </c>
      <c r="D14" s="81" t="n">
        <f aca="false">'Capex &amp; Funding'!$C$68*'Capex &amp; Funding'!$D$68</f>
        <v>33.2377914450813</v>
      </c>
      <c r="E14" s="81" t="n">
        <f aca="false">'Capex &amp; Funding'!$C$68*'Capex &amp; Funding'!$D$68</f>
        <v>33.2377914450813</v>
      </c>
      <c r="F14" s="81" t="n">
        <f aca="false">'Capex &amp; Funding'!$C$68*'Capex &amp; Funding'!$D$68</f>
        <v>33.2377914450813</v>
      </c>
      <c r="G14" s="81" t="n">
        <f aca="false">'Capex &amp; Funding'!$C$68*'Capex &amp; Funding'!$D$68</f>
        <v>33.2377914450813</v>
      </c>
      <c r="H14" s="81" t="n">
        <f aca="false">'Capex &amp; Funding'!$C$68*'Capex &amp; Funding'!$D$68</f>
        <v>33.2377914450813</v>
      </c>
      <c r="I14" s="81" t="n">
        <f aca="false">'Capex &amp; Funding'!$C$68*'Capex &amp; Funding'!$D$68</f>
        <v>33.2377914450813</v>
      </c>
      <c r="J14" s="81" t="n">
        <f aca="false">'Capex &amp; Funding'!$C$68*'Capex &amp; Funding'!$D$68</f>
        <v>33.2377914450813</v>
      </c>
      <c r="K14" s="81" t="n">
        <f aca="false">'Capex &amp; Funding'!$C$68*'Capex &amp; Funding'!$D$68</f>
        <v>33.2377914450813</v>
      </c>
      <c r="L14" s="81" t="n">
        <f aca="false">'Capex &amp; Funding'!$C$68*'Capex &amp; Funding'!$D$68</f>
        <v>33.2377914450813</v>
      </c>
    </row>
    <row r="15" customFormat="false" ht="15" hidden="false" customHeight="false" outlineLevel="0" collapsed="false">
      <c r="A15" s="7" t="s">
        <v>479</v>
      </c>
      <c r="B15" s="14" t="s">
        <v>162</v>
      </c>
      <c r="C15" s="81" t="n">
        <f aca="false">'Capex &amp; Funding'!$C$69*'Capex &amp; Funding'!$D$69</f>
        <v>34.1678956423528</v>
      </c>
      <c r="D15" s="81" t="n">
        <f aca="false">'Capex &amp; Funding'!$C$69*'Capex &amp; Funding'!$D$69</f>
        <v>34.1678956423528</v>
      </c>
      <c r="E15" s="81" t="n">
        <f aca="false">'Capex &amp; Funding'!$C$69*'Capex &amp; Funding'!$D$69</f>
        <v>34.1678956423528</v>
      </c>
      <c r="F15" s="81" t="n">
        <f aca="false">'Capex &amp; Funding'!$C$69*'Capex &amp; Funding'!$D$69</f>
        <v>34.1678956423528</v>
      </c>
      <c r="G15" s="81" t="n">
        <f aca="false">'Capex &amp; Funding'!$C$69*'Capex &amp; Funding'!$D$69</f>
        <v>34.1678956423528</v>
      </c>
      <c r="H15" s="81" t="n">
        <f aca="false">'Capex &amp; Funding'!$C$69*'Capex &amp; Funding'!$D$69</f>
        <v>34.1678956423528</v>
      </c>
      <c r="I15" s="81" t="n">
        <f aca="false">0</f>
        <v>0</v>
      </c>
      <c r="J15" s="81" t="n">
        <f aca="false">0</f>
        <v>0</v>
      </c>
      <c r="K15" s="81" t="n">
        <f aca="false">0</f>
        <v>0</v>
      </c>
      <c r="L15" s="81" t="n">
        <f aca="false">0</f>
        <v>0</v>
      </c>
    </row>
    <row r="16" customFormat="false" ht="15" hidden="false" customHeight="false" outlineLevel="0" collapsed="false">
      <c r="A16" s="7" t="s">
        <v>480</v>
      </c>
      <c r="B16" s="14" t="s">
        <v>162</v>
      </c>
      <c r="C16" s="81" t="n">
        <f aca="false">'Capex &amp; Funding'!$C$70/Assumptions!$C$93</f>
        <v>90</v>
      </c>
      <c r="D16" s="81" t="n">
        <f aca="false">'Capex &amp; Funding'!$C$70/Assumptions!$C$93</f>
        <v>90</v>
      </c>
      <c r="E16" s="81" t="n">
        <f aca="false">'Capex &amp; Funding'!$C$70/Assumptions!$C$93</f>
        <v>90</v>
      </c>
      <c r="F16" s="81" t="n">
        <f aca="false">'Capex &amp; Funding'!$C$70/Assumptions!$C$93</f>
        <v>90</v>
      </c>
      <c r="G16" s="81" t="n">
        <f aca="false">'Capex &amp; Funding'!$C$70/Assumptions!$C$93</f>
        <v>90</v>
      </c>
      <c r="H16" s="81" t="n">
        <f aca="false">0</f>
        <v>0</v>
      </c>
      <c r="I16" s="81" t="n">
        <f aca="false">0</f>
        <v>0</v>
      </c>
      <c r="J16" s="81" t="n">
        <f aca="false">0</f>
        <v>0</v>
      </c>
      <c r="K16" s="81" t="n">
        <f aca="false">0</f>
        <v>0</v>
      </c>
      <c r="L16" s="81" t="n">
        <f aca="false">0</f>
        <v>0</v>
      </c>
    </row>
    <row r="17" customFormat="false" ht="15" hidden="false" customHeight="false" outlineLevel="0" collapsed="false">
      <c r="A17" s="7" t="s">
        <v>481</v>
      </c>
      <c r="B17" s="14" t="s">
        <v>162</v>
      </c>
      <c r="C17" s="81" t="n">
        <f aca="false">0</f>
        <v>0</v>
      </c>
      <c r="D17" s="81" t="n">
        <f aca="false">SUM($C$6:C6)*0.1</f>
        <v>0</v>
      </c>
      <c r="E17" s="81" t="n">
        <f aca="false">SUM($C$6:D6)*0.1</f>
        <v>0</v>
      </c>
      <c r="F17" s="81" t="n">
        <f aca="false">SUM($C$6:E6)*0.1</f>
        <v>14.409757995435</v>
      </c>
      <c r="G17" s="81" t="n">
        <f aca="false">SUM($C$6:F6)*0.1</f>
        <v>32.1702290144983</v>
      </c>
      <c r="H17" s="81" t="n">
        <f aca="false">SUM($C$6:G6)*0.1</f>
        <v>53.0491464870404</v>
      </c>
      <c r="I17" s="81" t="n">
        <f aca="false">SUM($C$6:H6)*0.1</f>
        <v>76.2932455802824</v>
      </c>
      <c r="J17" s="81" t="n">
        <f aca="false">SUM($C$6:I6)*0.1</f>
        <v>101.498726504905</v>
      </c>
      <c r="K17" s="81" t="n">
        <f aca="false">SUM($C$6:J6)*0.1</f>
        <v>128.681985772816</v>
      </c>
      <c r="L17" s="81" t="n">
        <f aca="false">SUM($C$6:K6)*0.1</f>
        <v>158.050083187387</v>
      </c>
    </row>
    <row r="18" customFormat="false" ht="15" hidden="false" customHeight="false" outlineLevel="0" collapsed="false">
      <c r="A18" s="35" t="s">
        <v>482</v>
      </c>
      <c r="B18" s="80" t="s">
        <v>162</v>
      </c>
      <c r="C18" s="67" t="n">
        <f aca="false">SUM(C11:C17)</f>
        <v>613.873461326675</v>
      </c>
      <c r="D18" s="67" t="n">
        <f aca="false">SUM(D11:D17)</f>
        <v>613.873461326675</v>
      </c>
      <c r="E18" s="67" t="n">
        <f aca="false">SUM(E11:E17)</f>
        <v>655.123461326675</v>
      </c>
      <c r="F18" s="67" t="n">
        <f aca="false">SUM(F11:F17)</f>
        <v>669.53321932211</v>
      </c>
      <c r="G18" s="67" t="n">
        <f aca="false">SUM(G11:G17)</f>
        <v>687.293690341174</v>
      </c>
      <c r="H18" s="67" t="n">
        <f aca="false">SUM(H11:H17)</f>
        <v>618.172607813716</v>
      </c>
      <c r="I18" s="67" t="n">
        <f aca="false">SUM(I11:I17)</f>
        <v>607.248811264605</v>
      </c>
      <c r="J18" s="67" t="n">
        <f aca="false">SUM(J11:J17)</f>
        <v>632.454292189227</v>
      </c>
      <c r="K18" s="67" t="n">
        <f aca="false">SUM(K11:K17)</f>
        <v>659.637551457138</v>
      </c>
      <c r="L18" s="67" t="n">
        <f aca="false">SUM(L11:L17)</f>
        <v>689.005648871709</v>
      </c>
    </row>
    <row r="20" customFormat="false" ht="15" hidden="false" customHeight="false" outlineLevel="0" collapsed="false">
      <c r="A20" s="8" t="s">
        <v>483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customFormat="false" ht="15" hidden="false" customHeight="false" outlineLevel="0" collapsed="false">
      <c r="A21" s="7" t="s">
        <v>484</v>
      </c>
      <c r="B21" s="14" t="s">
        <v>162</v>
      </c>
      <c r="C21" s="81" t="n">
        <f aca="false">'Capex &amp; Funding'!$C$72</f>
        <v>10727.5081811777</v>
      </c>
      <c r="D21" s="81" t="n">
        <f aca="false">C22</f>
        <v>10113.634719851</v>
      </c>
      <c r="E21" s="81" t="n">
        <f aca="false">D22</f>
        <v>9499.76125852434</v>
      </c>
      <c r="F21" s="81" t="n">
        <f aca="false">E22</f>
        <v>9538.73537715202</v>
      </c>
      <c r="G21" s="81" t="n">
        <f aca="false">F22</f>
        <v>9046.80686802054</v>
      </c>
      <c r="H21" s="81" t="n">
        <f aca="false">G22</f>
        <v>8568.30235240479</v>
      </c>
      <c r="I21" s="81" t="n">
        <f aca="false">H22</f>
        <v>8182.57073552349</v>
      </c>
      <c r="J21" s="81" t="n">
        <f aca="false">I22</f>
        <v>7827.37673350511</v>
      </c>
      <c r="K21" s="81" t="n">
        <f aca="false">J22</f>
        <v>7466.755033995</v>
      </c>
      <c r="L21" s="81" t="n">
        <f aca="false">K22</f>
        <v>7100.79845668357</v>
      </c>
    </row>
    <row r="22" customFormat="false" ht="15" hidden="false" customHeight="false" outlineLevel="0" collapsed="false">
      <c r="A22" s="35" t="s">
        <v>485</v>
      </c>
      <c r="B22" s="80" t="s">
        <v>162</v>
      </c>
      <c r="C22" s="67" t="n">
        <f aca="false">C21+C8-C18</f>
        <v>10113.634719851</v>
      </c>
      <c r="D22" s="67" t="n">
        <f aca="false">D21+D8-D18</f>
        <v>9499.76125852434</v>
      </c>
      <c r="E22" s="67" t="n">
        <f aca="false">E21+E8-E18</f>
        <v>9538.73537715202</v>
      </c>
      <c r="F22" s="67" t="n">
        <f aca="false">F21+F8-F18</f>
        <v>9046.80686802054</v>
      </c>
      <c r="G22" s="67" t="n">
        <f aca="false">G21+G8-G18</f>
        <v>8568.30235240479</v>
      </c>
      <c r="H22" s="67" t="n">
        <f aca="false">H21+H8-H18</f>
        <v>8182.57073552349</v>
      </c>
      <c r="I22" s="67" t="n">
        <f aca="false">I21+I8-I18</f>
        <v>7827.37673350511</v>
      </c>
      <c r="J22" s="67" t="n">
        <f aca="false">J21+J8-J18</f>
        <v>7466.755033995</v>
      </c>
      <c r="K22" s="67" t="n">
        <f aca="false">K21+K8-K18</f>
        <v>7100.79845668357</v>
      </c>
      <c r="L22" s="67" t="n">
        <f aca="false">L21+L8-L18</f>
        <v>6728.40913952549</v>
      </c>
    </row>
    <row r="24" customFormat="false" ht="15" hidden="false" customHeight="false" outlineLevel="0" collapsed="false">
      <c r="A24" s="14" t="s">
        <v>486</v>
      </c>
    </row>
    <row r="25" customFormat="false" ht="15" hidden="false" customHeight="false" outlineLevel="0" collapsed="false">
      <c r="A25" s="14" t="s">
        <v>487</v>
      </c>
    </row>
    <row r="26" customFormat="false" ht="15" hidden="false" customHeight="false" outlineLevel="0" collapsed="false">
      <c r="A26" s="14" t="s">
        <v>488</v>
      </c>
    </row>
    <row r="28" customFormat="false" ht="15" hidden="false" customHeight="false" outlineLevel="0" collapsed="false">
      <c r="A28" s="8" t="s">
        <v>489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</row>
    <row r="29" customFormat="false" ht="15" hidden="false" customHeight="false" outlineLevel="0" collapsed="false">
      <c r="A29" s="7" t="s">
        <v>490</v>
      </c>
      <c r="B29" s="14" t="s">
        <v>162</v>
      </c>
      <c r="C29" s="81" t="n">
        <f aca="false">'Capex &amp; Funding'!$C$66+'Capex &amp; Funding'!$C$67+'Capex &amp; Funding'!$C$68</f>
        <v>3955.29718196467</v>
      </c>
      <c r="D29" s="81" t="n">
        <f aca="false">C31</f>
        <v>3362.00260466997</v>
      </c>
      <c r="E29" s="81" t="n">
        <f aca="false">D31</f>
        <v>2857.70221396948</v>
      </c>
      <c r="F29" s="81" t="n">
        <f aca="false">E31</f>
        <v>2429.04688187406</v>
      </c>
      <c r="G29" s="81" t="n">
        <f aca="false">F31</f>
        <v>2064.68984959295</v>
      </c>
      <c r="H29" s="81" t="n">
        <f aca="false">G31</f>
        <v>1754.986372154</v>
      </c>
      <c r="I29" s="81" t="n">
        <f aca="false">H31</f>
        <v>1491.7384163309</v>
      </c>
      <c r="J29" s="81" t="n">
        <f aca="false">I31</f>
        <v>1267.97765388127</v>
      </c>
      <c r="K29" s="81" t="n">
        <f aca="false">J31</f>
        <v>1077.78100579908</v>
      </c>
      <c r="L29" s="81" t="n">
        <f aca="false">K31</f>
        <v>916.113854929217</v>
      </c>
    </row>
    <row r="30" customFormat="false" ht="15" hidden="false" customHeight="false" outlineLevel="0" collapsed="false">
      <c r="A30" s="7" t="s">
        <v>491</v>
      </c>
      <c r="B30" s="14" t="s">
        <v>162</v>
      </c>
      <c r="C30" s="81" t="n">
        <f aca="false">C29*Assumptions!$C$101</f>
        <v>593.294577294701</v>
      </c>
      <c r="D30" s="81" t="n">
        <f aca="false">D29*Assumptions!$C$101</f>
        <v>504.300390700496</v>
      </c>
      <c r="E30" s="81" t="n">
        <f aca="false">E29*Assumptions!$C$101</f>
        <v>428.655332095421</v>
      </c>
      <c r="F30" s="81" t="n">
        <f aca="false">F29*Assumptions!$C$101</f>
        <v>364.357032281108</v>
      </c>
      <c r="G30" s="81" t="n">
        <f aca="false">G29*Assumptions!$C$101</f>
        <v>309.703477438942</v>
      </c>
      <c r="H30" s="81" t="n">
        <f aca="false">H29*Assumptions!$C$101</f>
        <v>263.247955823101</v>
      </c>
      <c r="I30" s="81" t="n">
        <f aca="false">I29*Assumptions!$C$101</f>
        <v>223.760762449636</v>
      </c>
      <c r="J30" s="81" t="n">
        <f aca="false">J29*Assumptions!$C$101</f>
        <v>190.19664808219</v>
      </c>
      <c r="K30" s="81" t="n">
        <f aca="false">K29*Assumptions!$C$101</f>
        <v>161.667150869862</v>
      </c>
      <c r="L30" s="81" t="n">
        <f aca="false">L29*Assumptions!$C$101</f>
        <v>137.417078239382</v>
      </c>
    </row>
    <row r="31" customFormat="false" ht="15" hidden="false" customHeight="false" outlineLevel="0" collapsed="false">
      <c r="A31" s="35" t="s">
        <v>492</v>
      </c>
      <c r="B31" s="80" t="s">
        <v>162</v>
      </c>
      <c r="C31" s="67" t="n">
        <f aca="false">C29-C30</f>
        <v>3362.00260466997</v>
      </c>
      <c r="D31" s="67" t="n">
        <f aca="false">D29-D30</f>
        <v>2857.70221396948</v>
      </c>
      <c r="E31" s="67" t="n">
        <f aca="false">E29-E30</f>
        <v>2429.04688187406</v>
      </c>
      <c r="F31" s="67" t="n">
        <f aca="false">F29-F30</f>
        <v>2064.68984959295</v>
      </c>
      <c r="G31" s="67" t="n">
        <f aca="false">G29-G30</f>
        <v>1754.986372154</v>
      </c>
      <c r="H31" s="67" t="n">
        <f aca="false">H29-H30</f>
        <v>1491.7384163309</v>
      </c>
      <c r="I31" s="67" t="n">
        <f aca="false">I29-I30</f>
        <v>1267.97765388127</v>
      </c>
      <c r="J31" s="67" t="n">
        <f aca="false">J29-J30</f>
        <v>1077.78100579908</v>
      </c>
      <c r="K31" s="67" t="n">
        <f aca="false">K29-K30</f>
        <v>916.113854929217</v>
      </c>
      <c r="L31" s="67" t="n">
        <f aca="false">L29-L30</f>
        <v>778.696776689834</v>
      </c>
    </row>
    <row r="32" customFormat="false" ht="15" hidden="false" customHeight="false" outlineLevel="0" collapsed="false">
      <c r="A32" s="7" t="s">
        <v>493</v>
      </c>
      <c r="B32" s="14" t="s">
        <v>162</v>
      </c>
      <c r="C32" s="81" t="n">
        <f aca="false">C30-(C12+C13+C14)</f>
        <v>271.164981872788</v>
      </c>
      <c r="D32" s="81" t="n">
        <f aca="false">D30-(D12+D13+D14)</f>
        <v>182.170795278583</v>
      </c>
      <c r="E32" s="81" t="n">
        <f aca="false">E30-(E12+E13+E14)</f>
        <v>65.2757366735086</v>
      </c>
      <c r="F32" s="81" t="n">
        <f aca="false">F30-(F12+F13+F14)</f>
        <v>0.97743685919545</v>
      </c>
      <c r="G32" s="81" t="n">
        <f aca="false">G30-(G12+G13+G14)</f>
        <v>-53.6761179829708</v>
      </c>
      <c r="H32" s="81" t="n">
        <f aca="false">H30-(H12+H13+H14)</f>
        <v>-100.131639598812</v>
      </c>
      <c r="I32" s="81" t="n">
        <f aca="false">I30-(I12+I13+I14)</f>
        <v>-139.618832972277</v>
      </c>
      <c r="J32" s="81" t="n">
        <f aca="false">J30-(J12+J13+J14)</f>
        <v>-173.182947339723</v>
      </c>
      <c r="K32" s="81" t="n">
        <f aca="false">K30-(K12+K13+K14)</f>
        <v>-201.712444552051</v>
      </c>
      <c r="L32" s="81" t="n">
        <f aca="false">L30-(L12+L13+L14)</f>
        <v>-225.96251718253</v>
      </c>
      <c r="N32" s="14" t="s">
        <v>494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O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5"/>
    <col collapsed="false" customWidth="true" hidden="false" outlineLevel="0" max="16" min="3" style="0" width="13"/>
  </cols>
  <sheetData>
    <row r="1" customFormat="false" ht="24" hidden="false" customHeight="true" outlineLevel="0" collapsed="false">
      <c r="A1" s="15" t="s">
        <v>495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" hidden="false" customHeight="false" outlineLevel="0" collapsed="false">
      <c r="A2" s="16" t="s">
        <v>496</v>
      </c>
    </row>
    <row r="4" customFormat="false" ht="15" hidden="false" customHeight="false" outlineLevel="0" collapsed="false">
      <c r="A4" s="50" t="s">
        <v>473</v>
      </c>
      <c r="B4" s="50" t="s">
        <v>122</v>
      </c>
      <c r="C4" s="51" t="s">
        <v>241</v>
      </c>
      <c r="D4" s="51" t="s">
        <v>242</v>
      </c>
      <c r="E4" s="51" t="s">
        <v>243</v>
      </c>
      <c r="F4" s="51" t="s">
        <v>244</v>
      </c>
      <c r="G4" s="51" t="s">
        <v>245</v>
      </c>
      <c r="H4" s="51" t="s">
        <v>246</v>
      </c>
      <c r="I4" s="51" t="s">
        <v>247</v>
      </c>
      <c r="J4" s="51" t="s">
        <v>248</v>
      </c>
      <c r="K4" s="51" t="s">
        <v>249</v>
      </c>
      <c r="L4" s="51" t="s">
        <v>250</v>
      </c>
    </row>
    <row r="5" customFormat="false" ht="15" hidden="false" customHeight="false" outlineLevel="0" collapsed="false">
      <c r="A5" s="52" t="s">
        <v>251</v>
      </c>
      <c r="B5" s="9"/>
      <c r="C5" s="53" t="s">
        <v>252</v>
      </c>
      <c r="D5" s="53" t="s">
        <v>253</v>
      </c>
      <c r="E5" s="53" t="s">
        <v>254</v>
      </c>
      <c r="F5" s="53" t="s">
        <v>255</v>
      </c>
      <c r="G5" s="53" t="s">
        <v>256</v>
      </c>
      <c r="H5" s="53" t="s">
        <v>257</v>
      </c>
      <c r="I5" s="53" t="s">
        <v>258</v>
      </c>
      <c r="J5" s="53" t="s">
        <v>259</v>
      </c>
      <c r="K5" s="53" t="s">
        <v>260</v>
      </c>
      <c r="L5" s="53" t="s">
        <v>261</v>
      </c>
    </row>
    <row r="6" customFormat="false" ht="15" hidden="false" customHeight="false" outlineLevel="0" collapsed="false">
      <c r="A6" s="8" t="s">
        <v>497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customFormat="false" ht="15" hidden="false" customHeight="false" outlineLevel="0" collapsed="false">
      <c r="A7" s="7" t="s">
        <v>498</v>
      </c>
      <c r="B7" s="14" t="s">
        <v>194</v>
      </c>
      <c r="C7" s="79" t="n">
        <f aca="false">Assumptions!$C$5</f>
        <v>100</v>
      </c>
      <c r="D7" s="79" t="n">
        <f aca="false">Assumptions!$C$5</f>
        <v>100</v>
      </c>
      <c r="E7" s="79" t="n">
        <f aca="false">Assumptions!$C$5</f>
        <v>100</v>
      </c>
      <c r="F7" s="79" t="n">
        <f aca="false">Assumptions!$C$5</f>
        <v>100</v>
      </c>
      <c r="G7" s="79" t="n">
        <f aca="false">Assumptions!$C$5</f>
        <v>100</v>
      </c>
      <c r="H7" s="79" t="n">
        <f aca="false">Assumptions!$C$5</f>
        <v>100</v>
      </c>
      <c r="I7" s="79" t="n">
        <f aca="false">Assumptions!$C$5</f>
        <v>100</v>
      </c>
      <c r="J7" s="79" t="n">
        <f aca="false">Assumptions!$C$5</f>
        <v>100</v>
      </c>
      <c r="K7" s="79" t="n">
        <f aca="false">Assumptions!$C$5</f>
        <v>100</v>
      </c>
      <c r="L7" s="79" t="n">
        <f aca="false">Assumptions!$C$5</f>
        <v>100</v>
      </c>
    </row>
    <row r="8" customFormat="false" ht="15" hidden="false" customHeight="false" outlineLevel="0" collapsed="false">
      <c r="A8" s="7" t="s">
        <v>499</v>
      </c>
      <c r="B8" s="14" t="s">
        <v>129</v>
      </c>
      <c r="C8" s="82" t="n">
        <f aca="false">Assumptions!C$40</f>
        <v>0.2736</v>
      </c>
      <c r="D8" s="82" t="n">
        <f aca="false">Assumptions!D$40</f>
        <v>0.432</v>
      </c>
      <c r="E8" s="82" t="n">
        <f aca="false">Assumptions!E$40</f>
        <v>0.5616</v>
      </c>
      <c r="F8" s="82" t="n">
        <f aca="false">Assumptions!F$40</f>
        <v>0.6408</v>
      </c>
      <c r="G8" s="82" t="n">
        <f aca="false">Assumptions!G$40</f>
        <v>0.6984</v>
      </c>
      <c r="H8" s="82" t="n">
        <f aca="false">Assumptions!H$40</f>
        <v>0.72</v>
      </c>
      <c r="I8" s="82" t="n">
        <f aca="false">Assumptions!I$40</f>
        <v>0.72</v>
      </c>
      <c r="J8" s="82" t="n">
        <f aca="false">Assumptions!J$40</f>
        <v>0.72</v>
      </c>
      <c r="K8" s="82" t="n">
        <f aca="false">Assumptions!K$40</f>
        <v>0.72</v>
      </c>
      <c r="L8" s="82" t="n">
        <f aca="false">Assumptions!L$40</f>
        <v>0.72</v>
      </c>
    </row>
    <row r="9" customFormat="false" ht="15" hidden="false" customHeight="false" outlineLevel="0" collapsed="false">
      <c r="A9" s="7" t="s">
        <v>500</v>
      </c>
      <c r="B9" s="14" t="s">
        <v>501</v>
      </c>
      <c r="C9" s="81" t="n">
        <f aca="false">C7*365*C8</f>
        <v>9986.4</v>
      </c>
      <c r="D9" s="81" t="n">
        <f aca="false">D7*365*D8</f>
        <v>15768</v>
      </c>
      <c r="E9" s="81" t="n">
        <f aca="false">E7*365*E8</f>
        <v>20498.4</v>
      </c>
      <c r="F9" s="81" t="n">
        <f aca="false">F7*365*F8</f>
        <v>23389.2</v>
      </c>
      <c r="G9" s="81" t="n">
        <f aca="false">G7*365*G8</f>
        <v>25491.6</v>
      </c>
      <c r="H9" s="81" t="n">
        <f aca="false">H7*365*H8</f>
        <v>26280</v>
      </c>
      <c r="I9" s="81" t="n">
        <f aca="false">I7*365*I8</f>
        <v>26280</v>
      </c>
      <c r="J9" s="81" t="n">
        <f aca="false">J7*365*J8</f>
        <v>26280</v>
      </c>
      <c r="K9" s="81" t="n">
        <f aca="false">K7*365*K8</f>
        <v>26280</v>
      </c>
      <c r="L9" s="81" t="n">
        <f aca="false">L7*365*L8</f>
        <v>26280</v>
      </c>
    </row>
    <row r="10" customFormat="false" ht="15" hidden="false" customHeight="false" outlineLevel="0" collapsed="false">
      <c r="A10" s="7" t="s">
        <v>502</v>
      </c>
      <c r="B10" s="14" t="s">
        <v>237</v>
      </c>
      <c r="C10" s="83" t="n">
        <f aca="false">Assumptions!$C$34</f>
        <v>3.9</v>
      </c>
      <c r="D10" s="83" t="n">
        <f aca="false">Assumptions!$C$34</f>
        <v>3.9</v>
      </c>
      <c r="E10" s="83" t="n">
        <f aca="false">Assumptions!$C$34</f>
        <v>3.9</v>
      </c>
      <c r="F10" s="83" t="n">
        <f aca="false">Assumptions!$C$34</f>
        <v>3.9</v>
      </c>
      <c r="G10" s="83" t="n">
        <f aca="false">Assumptions!$C$34</f>
        <v>3.9</v>
      </c>
      <c r="H10" s="83" t="n">
        <f aca="false">Assumptions!$C$34</f>
        <v>3.9</v>
      </c>
      <c r="I10" s="83" t="n">
        <f aca="false">Assumptions!$C$34</f>
        <v>3.9</v>
      </c>
      <c r="J10" s="83" t="n">
        <f aca="false">Assumptions!$C$34</f>
        <v>3.9</v>
      </c>
      <c r="K10" s="83" t="n">
        <f aca="false">Assumptions!$C$34</f>
        <v>3.9</v>
      </c>
      <c r="L10" s="83" t="n">
        <f aca="false">Assumptions!$C$34</f>
        <v>3.9</v>
      </c>
    </row>
    <row r="11" customFormat="false" ht="15" hidden="false" customHeight="false" outlineLevel="0" collapsed="false">
      <c r="A11" s="7" t="s">
        <v>503</v>
      </c>
      <c r="B11" s="14" t="s">
        <v>504</v>
      </c>
      <c r="C11" s="81" t="n">
        <f aca="false">C9/C10</f>
        <v>2560.61538461538</v>
      </c>
      <c r="D11" s="81" t="n">
        <f aca="false">D9/D10</f>
        <v>4043.07692307692</v>
      </c>
      <c r="E11" s="81" t="n">
        <f aca="false">E9/E10</f>
        <v>5256</v>
      </c>
      <c r="F11" s="81" t="n">
        <f aca="false">F9/F10</f>
        <v>5997.23076923077</v>
      </c>
      <c r="G11" s="81" t="n">
        <f aca="false">G9/G10</f>
        <v>6536.30769230769</v>
      </c>
      <c r="H11" s="81" t="n">
        <f aca="false">H9/H10</f>
        <v>6738.46153846154</v>
      </c>
      <c r="I11" s="81" t="n">
        <f aca="false">I9/I10</f>
        <v>6738.46153846154</v>
      </c>
      <c r="J11" s="81" t="n">
        <f aca="false">J9/J10</f>
        <v>6738.46153846154</v>
      </c>
      <c r="K11" s="81" t="n">
        <f aca="false">K9/K10</f>
        <v>6738.46153846154</v>
      </c>
      <c r="L11" s="81" t="n">
        <f aca="false">L9/L10</f>
        <v>6738.46153846154</v>
      </c>
    </row>
    <row r="12" customFormat="false" ht="15" hidden="false" customHeight="false" outlineLevel="0" collapsed="false">
      <c r="A12" s="7" t="s">
        <v>505</v>
      </c>
      <c r="B12" s="14" t="s">
        <v>135</v>
      </c>
      <c r="C12" s="81" t="n">
        <f aca="false">Assumptions!$C$31*(1+Assumptions!$C$32)^0</f>
        <v>26500</v>
      </c>
      <c r="D12" s="81" t="n">
        <f aca="false">Assumptions!$C$31*(1+Assumptions!$C$32)^1</f>
        <v>28487.5</v>
      </c>
      <c r="E12" s="81" t="n">
        <f aca="false">Assumptions!$C$31*(1+Assumptions!$C$32)^2</f>
        <v>30624.0625</v>
      </c>
      <c r="F12" s="81" t="n">
        <f aca="false">Assumptions!$C$31*(1+Assumptions!$C$32)^3</f>
        <v>32920.8671875</v>
      </c>
      <c r="G12" s="81" t="n">
        <f aca="false">Assumptions!$C$31*(1+Assumptions!$C$32)^4</f>
        <v>35389.9322265625</v>
      </c>
      <c r="H12" s="81" t="n">
        <f aca="false">Assumptions!$C$31*(1+Assumptions!$C$32)^5</f>
        <v>38044.1771435547</v>
      </c>
      <c r="I12" s="81" t="n">
        <f aca="false">Assumptions!$C$31*(1+Assumptions!$C$32)^6</f>
        <v>40897.4904293213</v>
      </c>
      <c r="J12" s="81" t="n">
        <f aca="false">Assumptions!$C$31*(1+Assumptions!$C$32)^7</f>
        <v>43964.8022115204</v>
      </c>
      <c r="K12" s="81" t="n">
        <f aca="false">Assumptions!$C$31*(1+Assumptions!$C$32)^8</f>
        <v>47262.1623773844</v>
      </c>
      <c r="L12" s="81" t="n">
        <f aca="false">Assumptions!$C$31*(1+Assumptions!$C$32)^9</f>
        <v>50806.8245556882</v>
      </c>
    </row>
    <row r="13" customFormat="false" ht="15" hidden="false" customHeight="false" outlineLevel="0" collapsed="false">
      <c r="A13" s="7" t="s">
        <v>506</v>
      </c>
      <c r="B13" s="14" t="s">
        <v>235</v>
      </c>
      <c r="C13" s="84" t="n">
        <f aca="false">Assumptions!$C$33</f>
        <v>0.909</v>
      </c>
      <c r="D13" s="84" t="n">
        <f aca="false">Assumptions!$C$33</f>
        <v>0.909</v>
      </c>
      <c r="E13" s="84" t="n">
        <f aca="false">Assumptions!$C$33</f>
        <v>0.909</v>
      </c>
      <c r="F13" s="84" t="n">
        <f aca="false">Assumptions!$C$33</f>
        <v>0.909</v>
      </c>
      <c r="G13" s="84" t="n">
        <f aca="false">Assumptions!$C$33</f>
        <v>0.909</v>
      </c>
      <c r="H13" s="84" t="n">
        <f aca="false">Assumptions!$C$33</f>
        <v>0.909</v>
      </c>
      <c r="I13" s="84" t="n">
        <f aca="false">Assumptions!$C$33</f>
        <v>0.909</v>
      </c>
      <c r="J13" s="84" t="n">
        <f aca="false">Assumptions!$C$33</f>
        <v>0.909</v>
      </c>
      <c r="K13" s="84" t="n">
        <f aca="false">Assumptions!$C$33</f>
        <v>0.909</v>
      </c>
      <c r="L13" s="84" t="n">
        <f aca="false">Assumptions!$C$33</f>
        <v>0.909</v>
      </c>
    </row>
    <row r="14" customFormat="false" ht="15" hidden="false" customHeight="false" outlineLevel="0" collapsed="false">
      <c r="A14" s="6" t="s">
        <v>507</v>
      </c>
      <c r="B14" s="14" t="s">
        <v>135</v>
      </c>
      <c r="C14" s="85" t="n">
        <f aca="false">C12*C13</f>
        <v>24088.5</v>
      </c>
      <c r="D14" s="85" t="n">
        <f aca="false">D12*D13</f>
        <v>25895.1375</v>
      </c>
      <c r="E14" s="85" t="n">
        <f aca="false">E12*E13</f>
        <v>27837.2728125</v>
      </c>
      <c r="F14" s="85" t="n">
        <f aca="false">F12*F13</f>
        <v>29925.0682734375</v>
      </c>
      <c r="G14" s="85" t="n">
        <f aca="false">G12*G13</f>
        <v>32169.4483939453</v>
      </c>
      <c r="H14" s="85" t="n">
        <f aca="false">H12*H13</f>
        <v>34582.1570234912</v>
      </c>
      <c r="I14" s="85" t="n">
        <f aca="false">I12*I13</f>
        <v>37175.818800253</v>
      </c>
      <c r="J14" s="85" t="n">
        <f aca="false">J12*J13</f>
        <v>39964.005210272</v>
      </c>
      <c r="K14" s="85" t="n">
        <f aca="false">K12*K13</f>
        <v>42961.3056010424</v>
      </c>
      <c r="L14" s="85" t="n">
        <f aca="false">L12*L13</f>
        <v>46183.4035211206</v>
      </c>
    </row>
    <row r="15" customFormat="false" ht="15" hidden="false" customHeight="false" outlineLevel="0" collapsed="false">
      <c r="A15" s="6" t="s">
        <v>508</v>
      </c>
      <c r="B15" s="14" t="s">
        <v>162</v>
      </c>
      <c r="C15" s="85" t="n">
        <f aca="false">C9*C14/100000</f>
        <v>2405.573964</v>
      </c>
      <c r="D15" s="85" t="n">
        <f aca="false">D9*D14/100000</f>
        <v>4083.145281</v>
      </c>
      <c r="E15" s="85" t="n">
        <f aca="false">E9*E14/100000</f>
        <v>5706.1955301975</v>
      </c>
      <c r="F15" s="85" t="n">
        <f aca="false">F9*F14/100000</f>
        <v>6999.23406861084</v>
      </c>
      <c r="G15" s="85" t="n">
        <f aca="false">G9*G14/100000</f>
        <v>8200.50710679096</v>
      </c>
      <c r="H15" s="85" t="n">
        <f aca="false">H9*H14/100000</f>
        <v>9088.19086577349</v>
      </c>
      <c r="I15" s="85" t="n">
        <f aca="false">I9*I14/100000</f>
        <v>9769.8051807065</v>
      </c>
      <c r="J15" s="85" t="n">
        <f aca="false">J9*J14/100000</f>
        <v>10502.5405692595</v>
      </c>
      <c r="K15" s="85" t="n">
        <f aca="false">K9*K14/100000</f>
        <v>11290.2311119539</v>
      </c>
      <c r="L15" s="85" t="n">
        <f aca="false">L9*L14/100000</f>
        <v>12136.9984453505</v>
      </c>
      <c r="N15" s="14" t="s">
        <v>509</v>
      </c>
    </row>
    <row r="17" customFormat="false" ht="15" hidden="false" customHeight="false" outlineLevel="0" collapsed="false">
      <c r="A17" s="8" t="s">
        <v>510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customFormat="false" ht="15" hidden="false" customHeight="false" outlineLevel="0" collapsed="false">
      <c r="A18" s="7" t="s">
        <v>511</v>
      </c>
      <c r="B18" s="14" t="s">
        <v>268</v>
      </c>
      <c r="C18" s="86" t="n">
        <f aca="false">Assumptions!$C$44*Assumptions!C$58*Assumptions!$C$43</f>
        <v>100</v>
      </c>
      <c r="D18" s="86" t="n">
        <f aca="false">Assumptions!$C$44*Assumptions!D$58*Assumptions!$C$43</f>
        <v>160</v>
      </c>
      <c r="E18" s="86" t="n">
        <f aca="false">Assumptions!$C$44*Assumptions!E$58*Assumptions!$C$43</f>
        <v>220</v>
      </c>
      <c r="F18" s="86" t="n">
        <f aca="false">Assumptions!$C$44*Assumptions!F$58*Assumptions!$C$43</f>
        <v>260</v>
      </c>
      <c r="G18" s="86" t="n">
        <f aca="false">Assumptions!$C$44*Assumptions!G$58*Assumptions!$C$43</f>
        <v>290</v>
      </c>
      <c r="H18" s="86" t="n">
        <f aca="false">Assumptions!$C$44*Assumptions!H$58*Assumptions!$C$43</f>
        <v>310</v>
      </c>
      <c r="I18" s="86" t="n">
        <f aca="false">Assumptions!$C$44*Assumptions!I$58*Assumptions!$C$43</f>
        <v>325</v>
      </c>
      <c r="J18" s="86" t="n">
        <f aca="false">Assumptions!$C$44*Assumptions!J$58*Assumptions!$C$43</f>
        <v>335</v>
      </c>
      <c r="K18" s="86" t="n">
        <f aca="false">Assumptions!$C$44*Assumptions!K$58*Assumptions!$C$43</f>
        <v>345</v>
      </c>
      <c r="L18" s="86" t="n">
        <f aca="false">Assumptions!$C$44*Assumptions!L$58*Assumptions!$C$43</f>
        <v>355</v>
      </c>
    </row>
    <row r="19" customFormat="false" ht="15" hidden="false" customHeight="false" outlineLevel="0" collapsed="false">
      <c r="A19" s="7" t="s">
        <v>512</v>
      </c>
      <c r="B19" s="14" t="s">
        <v>513</v>
      </c>
      <c r="C19" s="81" t="n">
        <f aca="false">C18*365</f>
        <v>36500</v>
      </c>
      <c r="D19" s="81" t="n">
        <f aca="false">D18*365</f>
        <v>58400</v>
      </c>
      <c r="E19" s="81" t="n">
        <f aca="false">E18*365</f>
        <v>80300</v>
      </c>
      <c r="F19" s="81" t="n">
        <f aca="false">F18*365</f>
        <v>94900</v>
      </c>
      <c r="G19" s="81" t="n">
        <f aca="false">G18*365</f>
        <v>105850</v>
      </c>
      <c r="H19" s="81" t="n">
        <f aca="false">H18*365</f>
        <v>113150</v>
      </c>
      <c r="I19" s="81" t="n">
        <f aca="false">I18*365</f>
        <v>118625</v>
      </c>
      <c r="J19" s="81" t="n">
        <f aca="false">J18*365</f>
        <v>122275</v>
      </c>
      <c r="K19" s="81" t="n">
        <f aca="false">K18*365</f>
        <v>125925</v>
      </c>
      <c r="L19" s="81" t="n">
        <f aca="false">L18*365</f>
        <v>129575</v>
      </c>
    </row>
    <row r="20" customFormat="false" ht="15" hidden="false" customHeight="false" outlineLevel="0" collapsed="false">
      <c r="A20" s="7" t="s">
        <v>514</v>
      </c>
      <c r="B20" s="14" t="s">
        <v>271</v>
      </c>
      <c r="C20" s="81" t="n">
        <f aca="false">Assumptions!$C$45*(1+Assumptions!$C$46)^0</f>
        <v>700</v>
      </c>
      <c r="D20" s="81" t="n">
        <f aca="false">Assumptions!$C$45*(1+Assumptions!$C$46)^1</f>
        <v>742</v>
      </c>
      <c r="E20" s="81" t="n">
        <f aca="false">Assumptions!$C$45*(1+Assumptions!$C$46)^2</f>
        <v>786.52</v>
      </c>
      <c r="F20" s="81" t="n">
        <f aca="false">Assumptions!$C$45*(1+Assumptions!$C$46)^3</f>
        <v>833.7112</v>
      </c>
      <c r="G20" s="81" t="n">
        <f aca="false">Assumptions!$C$45*(1+Assumptions!$C$46)^4</f>
        <v>883.733872</v>
      </c>
      <c r="H20" s="81" t="n">
        <f aca="false">Assumptions!$C$45*(1+Assumptions!$C$46)^5</f>
        <v>936.75790432</v>
      </c>
      <c r="I20" s="81" t="n">
        <f aca="false">Assumptions!$C$45*(1+Assumptions!$C$46)^6</f>
        <v>992.9633785792</v>
      </c>
      <c r="J20" s="81" t="n">
        <f aca="false">Assumptions!$C$45*(1+Assumptions!$C$46)^7</f>
        <v>1052.54118129395</v>
      </c>
      <c r="K20" s="81" t="n">
        <f aca="false">Assumptions!$C$45*(1+Assumptions!$C$46)^8</f>
        <v>1115.69365217159</v>
      </c>
      <c r="L20" s="81" t="n">
        <f aca="false">Assumptions!$C$45*(1+Assumptions!$C$46)^9</f>
        <v>1182.63527130189</v>
      </c>
    </row>
    <row r="21" customFormat="false" ht="15" hidden="false" customHeight="false" outlineLevel="0" collapsed="false">
      <c r="A21" s="6" t="s">
        <v>515</v>
      </c>
      <c r="B21" s="14" t="s">
        <v>162</v>
      </c>
      <c r="C21" s="85" t="n">
        <f aca="false">C19*C20/100000</f>
        <v>255.5</v>
      </c>
      <c r="D21" s="85" t="n">
        <f aca="false">D19*D20/100000</f>
        <v>433.328</v>
      </c>
      <c r="E21" s="85" t="n">
        <f aca="false">E19*E20/100000</f>
        <v>631.57556</v>
      </c>
      <c r="F21" s="85" t="n">
        <f aca="false">F19*F20/100000</f>
        <v>791.1919288</v>
      </c>
      <c r="G21" s="85" t="n">
        <f aca="false">G19*G20/100000</f>
        <v>935.432303512</v>
      </c>
      <c r="H21" s="85" t="n">
        <f aca="false">H19*H20/100000</f>
        <v>1059.94156873808</v>
      </c>
      <c r="I21" s="85" t="n">
        <f aca="false">I19*I20/100000</f>
        <v>1177.90280783958</v>
      </c>
      <c r="J21" s="85" t="n">
        <f aca="false">J19*J20/100000</f>
        <v>1286.99472942718</v>
      </c>
      <c r="K21" s="85" t="n">
        <f aca="false">K19*K20/100000</f>
        <v>1404.93723149707</v>
      </c>
      <c r="L21" s="85" t="n">
        <f aca="false">L19*L20/100000</f>
        <v>1532.39965278942</v>
      </c>
    </row>
    <row r="23" customFormat="false" ht="15" hidden="false" customHeight="false" outlineLevel="0" collapsed="false">
      <c r="A23" s="8" t="s">
        <v>516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customFormat="false" ht="15" hidden="false" customHeight="false" outlineLevel="0" collapsed="false">
      <c r="A24" s="7" t="s">
        <v>517</v>
      </c>
      <c r="B24" s="14" t="s">
        <v>129</v>
      </c>
      <c r="C24" s="82" t="n">
        <f aca="false">Assumptions!C$59</f>
        <v>0.45</v>
      </c>
      <c r="D24" s="82" t="n">
        <f aca="false">Assumptions!D$59</f>
        <v>0.47</v>
      </c>
      <c r="E24" s="82" t="n">
        <f aca="false">Assumptions!E$59</f>
        <v>0.48</v>
      </c>
      <c r="F24" s="82" t="n">
        <f aca="false">Assumptions!F$59</f>
        <v>0.49</v>
      </c>
      <c r="G24" s="82" t="n">
        <f aca="false">Assumptions!G$59</f>
        <v>0.5</v>
      </c>
      <c r="H24" s="82" t="n">
        <f aca="false">Assumptions!H$59</f>
        <v>0.5</v>
      </c>
      <c r="I24" s="82" t="n">
        <f aca="false">Assumptions!I$59</f>
        <v>0.51</v>
      </c>
      <c r="J24" s="82" t="n">
        <f aca="false">Assumptions!J$59</f>
        <v>0.51</v>
      </c>
      <c r="K24" s="82" t="n">
        <f aca="false">Assumptions!K$59</f>
        <v>0.52</v>
      </c>
      <c r="L24" s="82" t="n">
        <f aca="false">Assumptions!L$59</f>
        <v>0.52</v>
      </c>
    </row>
    <row r="25" customFormat="false" ht="15" hidden="false" customHeight="false" outlineLevel="0" collapsed="false">
      <c r="A25" s="7" t="s">
        <v>518</v>
      </c>
      <c r="B25" s="14" t="s">
        <v>271</v>
      </c>
      <c r="C25" s="81" t="n">
        <f aca="false">Assumptions!$C$48*(1+Assumptions!$C$46)^0</f>
        <v>950</v>
      </c>
      <c r="D25" s="81" t="n">
        <f aca="false">Assumptions!$C$48*(1+Assumptions!$C$46)^1</f>
        <v>1007</v>
      </c>
      <c r="E25" s="81" t="n">
        <f aca="false">Assumptions!$C$48*(1+Assumptions!$C$46)^2</f>
        <v>1067.42</v>
      </c>
      <c r="F25" s="81" t="n">
        <f aca="false">Assumptions!$C$48*(1+Assumptions!$C$46)^3</f>
        <v>1131.4652</v>
      </c>
      <c r="G25" s="81" t="n">
        <f aca="false">Assumptions!$C$48*(1+Assumptions!$C$46)^4</f>
        <v>1199.353112</v>
      </c>
      <c r="H25" s="81" t="n">
        <f aca="false">Assumptions!$C$48*(1+Assumptions!$C$46)^5</f>
        <v>1271.31429872</v>
      </c>
      <c r="I25" s="81" t="n">
        <f aca="false">Assumptions!$C$48*(1+Assumptions!$C$46)^6</f>
        <v>1347.5931566432</v>
      </c>
      <c r="J25" s="81" t="n">
        <f aca="false">Assumptions!$C$48*(1+Assumptions!$C$46)^7</f>
        <v>1428.44874604179</v>
      </c>
      <c r="K25" s="81" t="n">
        <f aca="false">Assumptions!$C$48*(1+Assumptions!$C$46)^8</f>
        <v>1514.1556708043</v>
      </c>
      <c r="L25" s="81" t="n">
        <f aca="false">Assumptions!$C$48*(1+Assumptions!$C$46)^9</f>
        <v>1605.00501105256</v>
      </c>
    </row>
    <row r="26" customFormat="false" ht="15" hidden="false" customHeight="false" outlineLevel="0" collapsed="false">
      <c r="A26" s="6" t="s">
        <v>519</v>
      </c>
      <c r="B26" s="14" t="s">
        <v>162</v>
      </c>
      <c r="C26" s="85" t="n">
        <f aca="false">C19*C24*C25/100000</f>
        <v>156.0375</v>
      </c>
      <c r="D26" s="85" t="n">
        <f aca="false">D19*D24*D25/100000</f>
        <v>276.40136</v>
      </c>
      <c r="E26" s="85" t="n">
        <f aca="false">E19*E24*E25/100000</f>
        <v>411.4263648</v>
      </c>
      <c r="F26" s="85" t="n">
        <f aca="false">F19*F24*F25/100000</f>
        <v>526.142632652</v>
      </c>
      <c r="G26" s="85" t="n">
        <f aca="false">G19*G24*G25/100000</f>
        <v>634.757634526</v>
      </c>
      <c r="H26" s="85" t="n">
        <f aca="false">H19*H24*H25/100000</f>
        <v>719.24606450084</v>
      </c>
      <c r="I26" s="85" t="n">
        <f aca="false">I19*I24*I25/100000</f>
        <v>815.277014854678</v>
      </c>
      <c r="J26" s="85" t="n">
        <f aca="false">J19*J24*J25/100000</f>
        <v>890.784209153527</v>
      </c>
      <c r="K26" s="85" t="n">
        <f aca="false">K19*K24*K25/100000</f>
        <v>991.484274799364</v>
      </c>
      <c r="L26" s="85" t="n">
        <f aca="false">L19*L24*L25/100000</f>
        <v>1081.4363263971</v>
      </c>
    </row>
    <row r="28" customFormat="false" ht="15" hidden="false" customHeight="false" outlineLevel="0" collapsed="false">
      <c r="A28" s="8" t="s">
        <v>520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</row>
    <row r="29" customFormat="false" ht="15" hidden="false" customHeight="false" outlineLevel="0" collapsed="false">
      <c r="A29" s="7" t="s">
        <v>517</v>
      </c>
      <c r="B29" s="14" t="s">
        <v>129</v>
      </c>
      <c r="C29" s="82" t="n">
        <f aca="false">Assumptions!C$60</f>
        <v>0.55</v>
      </c>
      <c r="D29" s="82" t="n">
        <f aca="false">Assumptions!D$60</f>
        <v>0.57</v>
      </c>
      <c r="E29" s="82" t="n">
        <f aca="false">Assumptions!E$60</f>
        <v>0.58</v>
      </c>
      <c r="F29" s="82" t="n">
        <f aca="false">Assumptions!F$60</f>
        <v>0.59</v>
      </c>
      <c r="G29" s="82" t="n">
        <f aca="false">Assumptions!G$60</f>
        <v>0.6</v>
      </c>
      <c r="H29" s="82" t="n">
        <f aca="false">Assumptions!H$60</f>
        <v>0.6</v>
      </c>
      <c r="I29" s="82" t="n">
        <f aca="false">Assumptions!I$60</f>
        <v>0.61</v>
      </c>
      <c r="J29" s="82" t="n">
        <f aca="false">Assumptions!J$60</f>
        <v>0.61</v>
      </c>
      <c r="K29" s="82" t="n">
        <f aca="false">Assumptions!K$60</f>
        <v>0.62</v>
      </c>
      <c r="L29" s="82" t="n">
        <f aca="false">Assumptions!L$60</f>
        <v>0.62</v>
      </c>
    </row>
    <row r="30" customFormat="false" ht="15" hidden="false" customHeight="false" outlineLevel="0" collapsed="false">
      <c r="A30" s="7" t="s">
        <v>518</v>
      </c>
      <c r="B30" s="14" t="s">
        <v>271</v>
      </c>
      <c r="C30" s="81" t="n">
        <f aca="false">Assumptions!$C$50*(1+Assumptions!$C$46)^0</f>
        <v>480</v>
      </c>
      <c r="D30" s="81" t="n">
        <f aca="false">Assumptions!$C$50*(1+Assumptions!$C$46)^1</f>
        <v>508.8</v>
      </c>
      <c r="E30" s="81" t="n">
        <f aca="false">Assumptions!$C$50*(1+Assumptions!$C$46)^2</f>
        <v>539.328</v>
      </c>
      <c r="F30" s="81" t="n">
        <f aca="false">Assumptions!$C$50*(1+Assumptions!$C$46)^3</f>
        <v>571.68768</v>
      </c>
      <c r="G30" s="81" t="n">
        <f aca="false">Assumptions!$C$50*(1+Assumptions!$C$46)^4</f>
        <v>605.9889408</v>
      </c>
      <c r="H30" s="81" t="n">
        <f aca="false">Assumptions!$C$50*(1+Assumptions!$C$46)^5</f>
        <v>642.348277248</v>
      </c>
      <c r="I30" s="81" t="n">
        <f aca="false">Assumptions!$C$50*(1+Assumptions!$C$46)^6</f>
        <v>680.88917388288</v>
      </c>
      <c r="J30" s="81" t="n">
        <f aca="false">Assumptions!$C$50*(1+Assumptions!$C$46)^7</f>
        <v>721.742524315853</v>
      </c>
      <c r="K30" s="81" t="n">
        <f aca="false">Assumptions!$C$50*(1+Assumptions!$C$46)^8</f>
        <v>765.047075774804</v>
      </c>
      <c r="L30" s="81" t="n">
        <f aca="false">Assumptions!$C$50*(1+Assumptions!$C$46)^9</f>
        <v>810.949900321293</v>
      </c>
    </row>
    <row r="31" customFormat="false" ht="15" hidden="false" customHeight="false" outlineLevel="0" collapsed="false">
      <c r="A31" s="6" t="s">
        <v>521</v>
      </c>
      <c r="B31" s="14" t="s">
        <v>162</v>
      </c>
      <c r="C31" s="85" t="n">
        <f aca="false">C19*C29*C30/100000</f>
        <v>96.36</v>
      </c>
      <c r="D31" s="85" t="n">
        <f aca="false">D19*D29*D30/100000</f>
        <v>169.369344</v>
      </c>
      <c r="E31" s="85" t="n">
        <f aca="false">E19*E29*E30/100000</f>
        <v>251.18662272</v>
      </c>
      <c r="F31" s="85" t="n">
        <f aca="false">F19*F29*F30/100000</f>
        <v>320.0936489088</v>
      </c>
      <c r="G31" s="85" t="n">
        <f aca="false">G19*G29*G30/100000</f>
        <v>384.86357630208</v>
      </c>
      <c r="H31" s="85" t="n">
        <f aca="false">H19*H29*H30/100000</f>
        <v>436.090245423667</v>
      </c>
      <c r="I31" s="85" t="n">
        <f aca="false">I19*I29*I30/100000</f>
        <v>492.699917336326</v>
      </c>
      <c r="J31" s="85" t="n">
        <f aca="false">J19*J29*J30/100000</f>
        <v>538.331509680398</v>
      </c>
      <c r="K31" s="85" t="n">
        <f aca="false">K19*K29*K30/100000</f>
        <v>597.299028705042</v>
      </c>
      <c r="L31" s="85" t="n">
        <f aca="false">L19*L29*L30/100000</f>
        <v>651.488766671615</v>
      </c>
    </row>
    <row r="33" customFormat="false" ht="15" hidden="false" customHeight="false" outlineLevel="0" collapsed="false">
      <c r="A33" s="8" t="s">
        <v>522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</row>
    <row r="34" customFormat="false" ht="15" hidden="false" customHeight="false" outlineLevel="0" collapsed="false">
      <c r="A34" s="7" t="s">
        <v>523</v>
      </c>
      <c r="B34" s="14" t="s">
        <v>524</v>
      </c>
      <c r="C34" s="81" t="n">
        <f aca="false">Assumptions!$C$51*Assumptions!$C$52*Assumptions!$C$53</f>
        <v>10500</v>
      </c>
      <c r="D34" s="81" t="n">
        <f aca="false">Assumptions!$C$51*Assumptions!$C$52*Assumptions!$C$53</f>
        <v>10500</v>
      </c>
      <c r="E34" s="81" t="n">
        <f aca="false">Assumptions!$C$51*Assumptions!$C$52*Assumptions!$C$53</f>
        <v>10500</v>
      </c>
      <c r="F34" s="81" t="n">
        <f aca="false">Assumptions!$C$51*Assumptions!$C$52*Assumptions!$C$53</f>
        <v>10500</v>
      </c>
      <c r="G34" s="81" t="n">
        <f aca="false">Assumptions!$C$51*Assumptions!$C$52*Assumptions!$C$53</f>
        <v>10500</v>
      </c>
      <c r="H34" s="81" t="n">
        <f aca="false">Assumptions!$C$51*Assumptions!$C$52*Assumptions!$C$53</f>
        <v>10500</v>
      </c>
      <c r="I34" s="81" t="n">
        <f aca="false">Assumptions!$C$51*Assumptions!$C$52*Assumptions!$C$53</f>
        <v>10500</v>
      </c>
      <c r="J34" s="81" t="n">
        <f aca="false">Assumptions!$C$51*Assumptions!$C$52*Assumptions!$C$53</f>
        <v>10500</v>
      </c>
      <c r="K34" s="81" t="n">
        <f aca="false">Assumptions!$C$51*Assumptions!$C$52*Assumptions!$C$53</f>
        <v>10500</v>
      </c>
      <c r="L34" s="81" t="n">
        <f aca="false">Assumptions!$C$51*Assumptions!$C$52*Assumptions!$C$53</f>
        <v>10500</v>
      </c>
    </row>
    <row r="35" customFormat="false" ht="15" hidden="false" customHeight="false" outlineLevel="0" collapsed="false">
      <c r="A35" s="7" t="s">
        <v>525</v>
      </c>
      <c r="B35" s="14" t="s">
        <v>129</v>
      </c>
      <c r="C35" s="82" t="n">
        <f aca="false">Assumptions!C$61</f>
        <v>0.3</v>
      </c>
      <c r="D35" s="82" t="n">
        <f aca="false">Assumptions!D$61</f>
        <v>0.45</v>
      </c>
      <c r="E35" s="82" t="n">
        <f aca="false">Assumptions!E$61</f>
        <v>0.6</v>
      </c>
      <c r="F35" s="82" t="n">
        <f aca="false">Assumptions!F$61</f>
        <v>0.68</v>
      </c>
      <c r="G35" s="82" t="n">
        <f aca="false">Assumptions!G$61</f>
        <v>0.75</v>
      </c>
      <c r="H35" s="82" t="n">
        <f aca="false">Assumptions!H$61</f>
        <v>0.8</v>
      </c>
      <c r="I35" s="82" t="n">
        <f aca="false">Assumptions!I$61</f>
        <v>0.82</v>
      </c>
      <c r="J35" s="82" t="n">
        <f aca="false">Assumptions!J$61</f>
        <v>0.83</v>
      </c>
      <c r="K35" s="82" t="n">
        <f aca="false">Assumptions!K$61</f>
        <v>0.84</v>
      </c>
      <c r="L35" s="82" t="n">
        <f aca="false">Assumptions!L$61</f>
        <v>0.85</v>
      </c>
    </row>
    <row r="36" customFormat="false" ht="15" hidden="false" customHeight="false" outlineLevel="0" collapsed="false">
      <c r="A36" s="7" t="s">
        <v>526</v>
      </c>
      <c r="B36" s="14" t="s">
        <v>271</v>
      </c>
      <c r="C36" s="81" t="n">
        <f aca="false">Assumptions!$C$54*(1+Assumptions!$C$46)^0</f>
        <v>1900</v>
      </c>
      <c r="D36" s="81" t="n">
        <f aca="false">Assumptions!$C$54*(1+Assumptions!$C$46)^1</f>
        <v>2014</v>
      </c>
      <c r="E36" s="81" t="n">
        <f aca="false">Assumptions!$C$54*(1+Assumptions!$C$46)^2</f>
        <v>2134.84</v>
      </c>
      <c r="F36" s="81" t="n">
        <f aca="false">Assumptions!$C$54*(1+Assumptions!$C$46)^3</f>
        <v>2262.9304</v>
      </c>
      <c r="G36" s="81" t="n">
        <f aca="false">Assumptions!$C$54*(1+Assumptions!$C$46)^4</f>
        <v>2398.706224</v>
      </c>
      <c r="H36" s="81" t="n">
        <f aca="false">Assumptions!$C$54*(1+Assumptions!$C$46)^5</f>
        <v>2542.62859744</v>
      </c>
      <c r="I36" s="81" t="n">
        <f aca="false">Assumptions!$C$54*(1+Assumptions!$C$46)^6</f>
        <v>2695.1863132864</v>
      </c>
      <c r="J36" s="81" t="n">
        <f aca="false">Assumptions!$C$54*(1+Assumptions!$C$46)^7</f>
        <v>2856.89749208359</v>
      </c>
      <c r="K36" s="81" t="n">
        <f aca="false">Assumptions!$C$54*(1+Assumptions!$C$46)^8</f>
        <v>3028.3113416086</v>
      </c>
      <c r="L36" s="81" t="n">
        <f aca="false">Assumptions!$C$54*(1+Assumptions!$C$46)^9</f>
        <v>3210.01002210512</v>
      </c>
    </row>
    <row r="37" customFormat="false" ht="15" hidden="false" customHeight="false" outlineLevel="0" collapsed="false">
      <c r="A37" s="6" t="s">
        <v>527</v>
      </c>
      <c r="B37" s="14" t="s">
        <v>162</v>
      </c>
      <c r="C37" s="85" t="n">
        <f aca="false">C34*C35*C36/100000</f>
        <v>59.85</v>
      </c>
      <c r="D37" s="85" t="n">
        <f aca="false">D34*D35*D36/100000</f>
        <v>95.1615</v>
      </c>
      <c r="E37" s="85" t="n">
        <f aca="false">E34*E35*E36/100000</f>
        <v>134.49492</v>
      </c>
      <c r="F37" s="85" t="n">
        <f aca="false">F34*F35*F36/100000</f>
        <v>161.57323056</v>
      </c>
      <c r="G37" s="85" t="n">
        <f aca="false">G34*G35*G36/100000</f>
        <v>188.89811514</v>
      </c>
      <c r="H37" s="85" t="n">
        <f aca="false">H34*H35*H36/100000</f>
        <v>213.58080218496</v>
      </c>
      <c r="I37" s="85" t="n">
        <f aca="false">I34*I35*I36/100000</f>
        <v>232.055541573959</v>
      </c>
      <c r="J37" s="85" t="n">
        <f aca="false">J34*J35*J36/100000</f>
        <v>248.978616435084</v>
      </c>
      <c r="K37" s="85" t="n">
        <f aca="false">K34*K35*K36/100000</f>
        <v>267.097060329879</v>
      </c>
      <c r="L37" s="85" t="n">
        <f aca="false">L34*L35*L36/100000</f>
        <v>286.493394472882</v>
      </c>
    </row>
    <row r="39" customFormat="false" ht="15" hidden="false" customHeight="false" outlineLevel="0" collapsed="false">
      <c r="A39" s="8" t="s">
        <v>528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</row>
    <row r="40" customFormat="false" ht="15" hidden="false" customHeight="false" outlineLevel="0" collapsed="false">
      <c r="A40" s="7" t="s">
        <v>529</v>
      </c>
      <c r="B40" s="14" t="s">
        <v>162</v>
      </c>
      <c r="C40" s="79" t="n">
        <f aca="false">Assumptions!C$62</f>
        <v>40</v>
      </c>
      <c r="D40" s="79" t="n">
        <f aca="false">Assumptions!D$62</f>
        <v>55</v>
      </c>
      <c r="E40" s="79" t="n">
        <f aca="false">Assumptions!E$62</f>
        <v>70</v>
      </c>
      <c r="F40" s="79" t="n">
        <f aca="false">Assumptions!F$62</f>
        <v>82</v>
      </c>
      <c r="G40" s="79" t="n">
        <f aca="false">Assumptions!G$62</f>
        <v>95</v>
      </c>
      <c r="H40" s="79" t="n">
        <f aca="false">Assumptions!H$62</f>
        <v>105</v>
      </c>
      <c r="I40" s="79" t="n">
        <f aca="false">Assumptions!I$62</f>
        <v>115</v>
      </c>
      <c r="J40" s="79" t="n">
        <f aca="false">Assumptions!J$62</f>
        <v>124</v>
      </c>
      <c r="K40" s="79" t="n">
        <f aca="false">Assumptions!K$62</f>
        <v>133</v>
      </c>
      <c r="L40" s="79" t="n">
        <f aca="false">Assumptions!L$62</f>
        <v>142</v>
      </c>
    </row>
    <row r="42" customFormat="false" ht="15" hidden="false" customHeight="false" outlineLevel="0" collapsed="false">
      <c r="A42" s="19" t="s">
        <v>530</v>
      </c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</row>
    <row r="43" customFormat="false" ht="15" hidden="false" customHeight="false" outlineLevel="0" collapsed="false">
      <c r="A43" s="35" t="s">
        <v>531</v>
      </c>
      <c r="B43" s="80" t="s">
        <v>162</v>
      </c>
      <c r="C43" s="67" t="n">
        <f aca="false">C15+C21+C26+C31+C37+C40</f>
        <v>3013.321464</v>
      </c>
      <c r="D43" s="67" t="n">
        <f aca="false">D15+D21+D26+D31+D37+D40</f>
        <v>5112.405485</v>
      </c>
      <c r="E43" s="67" t="n">
        <f aca="false">E15+E21+E26+E31+E37+E40</f>
        <v>7204.8789977175</v>
      </c>
      <c r="F43" s="67" t="n">
        <f aca="false">F15+F21+F26+F31+F37+F40</f>
        <v>8880.23550953164</v>
      </c>
      <c r="G43" s="67" t="n">
        <f aca="false">G15+G21+G26+G31+G37+G40</f>
        <v>10439.458736271</v>
      </c>
      <c r="H43" s="67" t="n">
        <f aca="false">H15+H21+H26+H31+H37+H40</f>
        <v>11622.049546621</v>
      </c>
      <c r="I43" s="67" t="n">
        <f aca="false">I15+I21+I26+I31+I37+I40</f>
        <v>12602.740462311</v>
      </c>
      <c r="J43" s="67" t="n">
        <f aca="false">J15+J21+J26+J31+J37+J40</f>
        <v>13591.6296339557</v>
      </c>
      <c r="K43" s="67" t="n">
        <f aca="false">K15+K21+K26+K31+K37+K40</f>
        <v>14684.0487072853</v>
      </c>
      <c r="L43" s="67" t="n">
        <f aca="false">L15+L21+L26+L31+L37+L40</f>
        <v>15830.8165856815</v>
      </c>
    </row>
    <row r="44" customFormat="false" ht="15" hidden="false" customHeight="false" outlineLevel="0" collapsed="false">
      <c r="A44" s="7" t="s">
        <v>532</v>
      </c>
      <c r="B44" s="14" t="s">
        <v>129</v>
      </c>
      <c r="C44" s="87" t="n">
        <f aca="false">0</f>
        <v>0</v>
      </c>
      <c r="D44" s="87" t="n">
        <f aca="false">D43/C43-1</f>
        <v>0.696601423405253</v>
      </c>
      <c r="E44" s="87" t="n">
        <f aca="false">E43/D43-1</f>
        <v>0.409293339281655</v>
      </c>
      <c r="F44" s="87" t="n">
        <f aca="false">F43/E43-1</f>
        <v>0.23253083255734</v>
      </c>
      <c r="G44" s="87" t="n">
        <f aca="false">G43/F43-1</f>
        <v>0.175583544497868</v>
      </c>
      <c r="H44" s="87" t="n">
        <f aca="false">H43/G43-1</f>
        <v>0.113280854901143</v>
      </c>
      <c r="I44" s="87" t="n">
        <f aca="false">I43/H43-1</f>
        <v>0.0843819252151723</v>
      </c>
      <c r="J44" s="87" t="n">
        <f aca="false">J43/I43-1</f>
        <v>0.078466201426741</v>
      </c>
      <c r="K44" s="87" t="n">
        <f aca="false">K43/J43-1</f>
        <v>0.0803743997408863</v>
      </c>
      <c r="L44" s="87" t="n">
        <f aca="false">L43/K43-1</f>
        <v>0.0780961641612679</v>
      </c>
    </row>
    <row r="45" customFormat="false" ht="15" hidden="false" customHeight="false" outlineLevel="0" collapsed="false">
      <c r="A45" s="7" t="s">
        <v>531</v>
      </c>
      <c r="B45" s="14" t="s">
        <v>533</v>
      </c>
      <c r="C45" s="86" t="n">
        <f aca="false">C43/100</f>
        <v>30.13321464</v>
      </c>
      <c r="D45" s="86" t="n">
        <f aca="false">D43/100</f>
        <v>51.12405485</v>
      </c>
      <c r="E45" s="86" t="n">
        <f aca="false">E43/100</f>
        <v>72.048789977175</v>
      </c>
      <c r="F45" s="86" t="n">
        <f aca="false">F43/100</f>
        <v>88.8023550953164</v>
      </c>
      <c r="G45" s="86" t="n">
        <f aca="false">G43/100</f>
        <v>104.39458736271</v>
      </c>
      <c r="H45" s="86" t="n">
        <f aca="false">H43/100</f>
        <v>116.22049546621</v>
      </c>
      <c r="I45" s="86" t="n">
        <f aca="false">I43/100</f>
        <v>126.02740462311</v>
      </c>
      <c r="J45" s="86" t="n">
        <f aca="false">J43/100</f>
        <v>135.916296339557</v>
      </c>
      <c r="K45" s="86" t="n">
        <f aca="false">K43/100</f>
        <v>146.840487072853</v>
      </c>
      <c r="L45" s="86" t="n">
        <f aca="false">L43/100</f>
        <v>158.308165856815</v>
      </c>
    </row>
    <row r="47" customFormat="false" ht="15" hidden="false" customHeight="false" outlineLevel="0" collapsed="false">
      <c r="A47" s="8" t="s">
        <v>534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</row>
    <row r="48" customFormat="false" ht="15" hidden="false" customHeight="false" outlineLevel="0" collapsed="false">
      <c r="A48" s="7" t="s">
        <v>535</v>
      </c>
      <c r="B48" s="14" t="s">
        <v>129</v>
      </c>
      <c r="C48" s="87" t="n">
        <f aca="false">C15/C43</f>
        <v>0.798313088311112</v>
      </c>
      <c r="D48" s="87" t="n">
        <f aca="false">D15/D43</f>
        <v>0.798673988786709</v>
      </c>
      <c r="E48" s="87" t="n">
        <f aca="false">E15/E43</f>
        <v>0.791990473678353</v>
      </c>
      <c r="F48" s="87" t="n">
        <f aca="false">F15/F43</f>
        <v>0.788181131130833</v>
      </c>
      <c r="G48" s="87" t="n">
        <f aca="false">G15/G43</f>
        <v>0.785529912417679</v>
      </c>
      <c r="H48" s="87" t="n">
        <f aca="false">H15/H43</f>
        <v>0.781978327429843</v>
      </c>
      <c r="I48" s="87" t="n">
        <f aca="false">I15/I43</f>
        <v>0.775212757092274</v>
      </c>
      <c r="J48" s="87" t="n">
        <f aca="false">J15/J43</f>
        <v>0.772721215344274</v>
      </c>
      <c r="K48" s="87" t="n">
        <f aca="false">K15/K43</f>
        <v>0.768877258378504</v>
      </c>
      <c r="L48" s="87" t="n">
        <f aca="false">L15/L43</f>
        <v>0.766669134195392</v>
      </c>
    </row>
    <row r="49" customFormat="false" ht="15" hidden="false" customHeight="false" outlineLevel="0" collapsed="false">
      <c r="A49" s="7" t="s">
        <v>536</v>
      </c>
      <c r="B49" s="14" t="s">
        <v>129</v>
      </c>
      <c r="C49" s="87" t="n">
        <f aca="false">C21/C43</f>
        <v>0.0847901569920255</v>
      </c>
      <c r="D49" s="87" t="n">
        <f aca="false">D21/D43</f>
        <v>0.0847600999708262</v>
      </c>
      <c r="E49" s="87" t="n">
        <f aca="false">E21/E43</f>
        <v>0.0876594263692816</v>
      </c>
      <c r="F49" s="87" t="n">
        <f aca="false">F21/F43</f>
        <v>0.0890958272391279</v>
      </c>
      <c r="G49" s="87" t="n">
        <f aca="false">G21/G43</f>
        <v>0.0896054409661985</v>
      </c>
      <c r="H49" s="87" t="n">
        <f aca="false">H21/H43</f>
        <v>0.0912009163690276</v>
      </c>
      <c r="I49" s="87" t="n">
        <f aca="false">I21/I43</f>
        <v>0.0934640216833901</v>
      </c>
      <c r="J49" s="87" t="n">
        <f aca="false">J21/J43</f>
        <v>0.0946902442229524</v>
      </c>
      <c r="K49" s="87" t="n">
        <f aca="false">K21/K43</f>
        <v>0.0956777833895383</v>
      </c>
      <c r="L49" s="87" t="n">
        <f aca="false">L21/L43</f>
        <v>0.0967985223311491</v>
      </c>
    </row>
    <row r="50" customFormat="false" ht="15" hidden="false" customHeight="false" outlineLevel="0" collapsed="false">
      <c r="A50" s="7" t="s">
        <v>537</v>
      </c>
      <c r="B50" s="14" t="s">
        <v>129</v>
      </c>
      <c r="C50" s="87" t="n">
        <f aca="false">C26/C43</f>
        <v>0.051782560162987</v>
      </c>
      <c r="D50" s="87" t="n">
        <f aca="false">D26/D43</f>
        <v>0.054064835195677</v>
      </c>
      <c r="E50" s="87" t="n">
        <f aca="false">E26/E43</f>
        <v>0.0571038548919891</v>
      </c>
      <c r="F50" s="87" t="n">
        <f aca="false">F26/F43</f>
        <v>0.0592487251140201</v>
      </c>
      <c r="G50" s="87" t="n">
        <f aca="false">G26/G43</f>
        <v>0.0608036920842061</v>
      </c>
      <c r="H50" s="87" t="n">
        <f aca="false">H26/H43</f>
        <v>0.0618863361075544</v>
      </c>
      <c r="I50" s="87" t="n">
        <f aca="false">I26/I43</f>
        <v>0.0646904550080036</v>
      </c>
      <c r="J50" s="87" t="n">
        <f aca="false">J26/J43</f>
        <v>0.0655391761800292</v>
      </c>
      <c r="K50" s="87" t="n">
        <f aca="false">K26/K43</f>
        <v>0.0675211785634742</v>
      </c>
      <c r="L50" s="87" t="n">
        <f aca="false">L26/L43</f>
        <v>0.0683121000451252</v>
      </c>
    </row>
    <row r="51" customFormat="false" ht="15" hidden="false" customHeight="false" outlineLevel="0" collapsed="false">
      <c r="A51" s="7" t="s">
        <v>538</v>
      </c>
      <c r="B51" s="14" t="s">
        <v>129</v>
      </c>
      <c r="C51" s="87" t="n">
        <f aca="false">C31/C43</f>
        <v>0.0319780020655639</v>
      </c>
      <c r="D51" s="87" t="n">
        <f aca="false">D31/D43</f>
        <v>0.0331290905028829</v>
      </c>
      <c r="E51" s="87" t="n">
        <f aca="false">E31/E43</f>
        <v>0.0348634061445828</v>
      </c>
      <c r="F51" s="87" t="n">
        <f aca="false">F31/F43</f>
        <v>0.0360456261058872</v>
      </c>
      <c r="G51" s="87" t="n">
        <f aca="false">G31/G43</f>
        <v>0.0368662385689503</v>
      </c>
      <c r="H51" s="87" t="n">
        <f aca="false">H31/H43</f>
        <v>0.0375226627346856</v>
      </c>
      <c r="I51" s="87" t="n">
        <f aca="false">I31/I43</f>
        <v>0.0390946650698523</v>
      </c>
      <c r="J51" s="87" t="n">
        <f aca="false">J31/J43</f>
        <v>0.0396075764406864</v>
      </c>
      <c r="K51" s="87" t="n">
        <f aca="false">K31/K43</f>
        <v>0.0406767261953237</v>
      </c>
      <c r="L51" s="87" t="n">
        <f aca="false">L31/L43</f>
        <v>0.0411532003510714</v>
      </c>
    </row>
    <row r="52" customFormat="false" ht="15" hidden="false" customHeight="false" outlineLevel="0" collapsed="false">
      <c r="A52" s="7" t="s">
        <v>539</v>
      </c>
      <c r="B52" s="14" t="s">
        <v>129</v>
      </c>
      <c r="C52" s="87" t="n">
        <f aca="false">C37/C43</f>
        <v>0.019861803898132</v>
      </c>
      <c r="D52" s="87" t="n">
        <f aca="false">D37/D43</f>
        <v>0.0186138404473604</v>
      </c>
      <c r="E52" s="87" t="n">
        <f aca="false">E37/E43</f>
        <v>0.0186672003849902</v>
      </c>
      <c r="F52" s="87" t="n">
        <f aca="false">F37/F43</f>
        <v>0.0181947010737018</v>
      </c>
      <c r="G52" s="87" t="n">
        <f aca="false">G37/G43</f>
        <v>0.0180946273089513</v>
      </c>
      <c r="H52" s="87" t="n">
        <f aca="false">H37/H43</f>
        <v>0.0183772063032597</v>
      </c>
      <c r="I52" s="87" t="n">
        <f aca="false">I37/I43</f>
        <v>0.0184131016795855</v>
      </c>
      <c r="J52" s="87" t="n">
        <f aca="false">J37/J43</f>
        <v>0.0183185256764992</v>
      </c>
      <c r="K52" s="87" t="n">
        <f aca="false">K37/K43</f>
        <v>0.0181896059904352</v>
      </c>
      <c r="L52" s="87" t="n">
        <f aca="false">L37/L43</f>
        <v>0.0180971962452023</v>
      </c>
    </row>
    <row r="53" customFormat="false" ht="15" hidden="false" customHeight="false" outlineLevel="0" collapsed="false">
      <c r="A53" s="7" t="s">
        <v>540</v>
      </c>
      <c r="B53" s="14" t="s">
        <v>129</v>
      </c>
      <c r="C53" s="87" t="n">
        <f aca="false">C40/C43</f>
        <v>0.0132743885701801</v>
      </c>
      <c r="D53" s="87" t="n">
        <f aca="false">D40/D43</f>
        <v>0.0107581450965445</v>
      </c>
      <c r="E53" s="87" t="n">
        <f aca="false">E40/E43</f>
        <v>0.00971563853080336</v>
      </c>
      <c r="F53" s="87" t="n">
        <f aca="false">F40/F43</f>
        <v>0.00923398933642975</v>
      </c>
      <c r="G53" s="87" t="n">
        <f aca="false">G40/G43</f>
        <v>0.0091000886540152</v>
      </c>
      <c r="H53" s="87" t="n">
        <f aca="false">H40/H43</f>
        <v>0.0090345510556292</v>
      </c>
      <c r="I53" s="87" t="n">
        <f aca="false">I40/I43</f>
        <v>0.00912499946689466</v>
      </c>
      <c r="J53" s="87" t="n">
        <f aca="false">J40/J43</f>
        <v>0.0091232621355583</v>
      </c>
      <c r="K53" s="87" t="n">
        <f aca="false">K40/K43</f>
        <v>0.00905744748272414</v>
      </c>
      <c r="L53" s="87" t="n">
        <f aca="false">L40/L43</f>
        <v>0.00896984683206011</v>
      </c>
    </row>
    <row r="55" customFormat="false" ht="15" hidden="false" customHeight="false" outlineLevel="0" collapsed="false">
      <c r="A55" s="8" t="s">
        <v>541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</row>
    <row r="56" customFormat="false" ht="15" hidden="false" customHeight="false" outlineLevel="0" collapsed="false">
      <c r="A56" s="7" t="s">
        <v>542</v>
      </c>
      <c r="B56" s="14" t="s">
        <v>162</v>
      </c>
      <c r="C56" s="86" t="n">
        <f aca="false">C43/C7</f>
        <v>30.13321464</v>
      </c>
      <c r="D56" s="86" t="n">
        <f aca="false">D43/D7</f>
        <v>51.12405485</v>
      </c>
      <c r="E56" s="86" t="n">
        <f aca="false">E43/E7</f>
        <v>72.048789977175</v>
      </c>
      <c r="F56" s="86" t="n">
        <f aca="false">F43/F7</f>
        <v>88.8023550953164</v>
      </c>
      <c r="G56" s="86" t="n">
        <f aca="false">G43/G7</f>
        <v>104.39458736271</v>
      </c>
      <c r="H56" s="86" t="n">
        <f aca="false">H43/H7</f>
        <v>116.22049546621</v>
      </c>
      <c r="I56" s="86" t="n">
        <f aca="false">I43/I7</f>
        <v>126.02740462311</v>
      </c>
      <c r="J56" s="86" t="n">
        <f aca="false">J43/J7</f>
        <v>135.916296339557</v>
      </c>
      <c r="K56" s="86" t="n">
        <f aca="false">K43/K7</f>
        <v>146.840487072853</v>
      </c>
      <c r="L56" s="86" t="n">
        <f aca="false">L43/L7</f>
        <v>158.308165856815</v>
      </c>
      <c r="N56" s="14" t="s">
        <v>543</v>
      </c>
    </row>
    <row r="57" customFormat="false" ht="15" hidden="false" customHeight="false" outlineLevel="0" collapsed="false">
      <c r="A57" s="7" t="s">
        <v>544</v>
      </c>
      <c r="B57" s="14" t="s">
        <v>271</v>
      </c>
      <c r="C57" s="81" t="n">
        <f aca="false">C43*100000/Assumptions!$C$6</f>
        <v>2869.82996571429</v>
      </c>
      <c r="D57" s="81" t="n">
        <f aca="false">D43*100000/Assumptions!$C$6</f>
        <v>4868.95760476191</v>
      </c>
      <c r="E57" s="81" t="n">
        <f aca="false">E43*100000/Assumptions!$C$6</f>
        <v>6861.78952163571</v>
      </c>
      <c r="F57" s="81" t="n">
        <f aca="false">F43*100000/Assumptions!$C$6</f>
        <v>8457.3671519349</v>
      </c>
      <c r="G57" s="81" t="n">
        <f aca="false">G43*100000/Assumptions!$C$6</f>
        <v>9942.34165359147</v>
      </c>
      <c r="H57" s="81" t="n">
        <f aca="false">H43*100000/Assumptions!$C$6</f>
        <v>11068.6186158296</v>
      </c>
      <c r="I57" s="81" t="n">
        <f aca="false">I43*100000/Assumptions!$C$6</f>
        <v>12002.6099641058</v>
      </c>
      <c r="J57" s="81" t="n">
        <f aca="false">J43*100000/Assumptions!$C$6</f>
        <v>12944.4091751959</v>
      </c>
      <c r="K57" s="81" t="n">
        <f aca="false">K43*100000/Assumptions!$C$6</f>
        <v>13984.8082926527</v>
      </c>
      <c r="L57" s="81" t="n">
        <f aca="false">L43*100000/Assumptions!$C$6</f>
        <v>15076.9681768395</v>
      </c>
    </row>
    <row r="58" customFormat="false" ht="15" hidden="false" customHeight="false" outlineLevel="0" collapsed="false">
      <c r="A58" s="7" t="s">
        <v>545</v>
      </c>
      <c r="B58" s="14" t="s">
        <v>271</v>
      </c>
      <c r="C58" s="81" t="n">
        <f aca="false">C15*100000/C11</f>
        <v>93945.15</v>
      </c>
      <c r="D58" s="81" t="n">
        <f aca="false">D15*100000/D11</f>
        <v>100991.03625</v>
      </c>
      <c r="E58" s="81" t="n">
        <f aca="false">E15*100000/E11</f>
        <v>108565.36396875</v>
      </c>
      <c r="F58" s="81" t="n">
        <f aca="false">F15*100000/F11</f>
        <v>116707.766266406</v>
      </c>
      <c r="G58" s="81" t="n">
        <f aca="false">G15*100000/G11</f>
        <v>125460.848736387</v>
      </c>
      <c r="H58" s="81" t="n">
        <f aca="false">H15*100000/H11</f>
        <v>134870.412391616</v>
      </c>
      <c r="I58" s="81" t="n">
        <f aca="false">I15*100000/I11</f>
        <v>144985.693320987</v>
      </c>
      <c r="J58" s="81" t="n">
        <f aca="false">J15*100000/J11</f>
        <v>155859.620320061</v>
      </c>
      <c r="K58" s="81" t="n">
        <f aca="false">K15*100000/K11</f>
        <v>167549.091844065</v>
      </c>
      <c r="L58" s="81" t="n">
        <f aca="false">L15*100000/L11</f>
        <v>180115.27373237</v>
      </c>
      <c r="N58" s="14" t="s">
        <v>546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O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5"/>
    <col collapsed="false" customWidth="true" hidden="false" outlineLevel="0" max="16" min="3" style="0" width="13"/>
  </cols>
  <sheetData>
    <row r="1" customFormat="false" ht="24" hidden="false" customHeight="true" outlineLevel="0" collapsed="false">
      <c r="A1" s="15" t="s">
        <v>547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" hidden="false" customHeight="false" outlineLevel="0" collapsed="false">
      <c r="A2" s="16" t="s">
        <v>548</v>
      </c>
    </row>
    <row r="4" customFormat="false" ht="15" hidden="false" customHeight="false" outlineLevel="0" collapsed="false">
      <c r="A4" s="50" t="s">
        <v>549</v>
      </c>
      <c r="B4" s="50" t="s">
        <v>122</v>
      </c>
      <c r="C4" s="51" t="s">
        <v>241</v>
      </c>
      <c r="D4" s="51" t="s">
        <v>242</v>
      </c>
      <c r="E4" s="51" t="s">
        <v>243</v>
      </c>
      <c r="F4" s="51" t="s">
        <v>244</v>
      </c>
      <c r="G4" s="51" t="s">
        <v>245</v>
      </c>
      <c r="H4" s="51" t="s">
        <v>246</v>
      </c>
      <c r="I4" s="51" t="s">
        <v>247</v>
      </c>
      <c r="J4" s="51" t="s">
        <v>248</v>
      </c>
      <c r="K4" s="51" t="s">
        <v>249</v>
      </c>
      <c r="L4" s="51" t="s">
        <v>250</v>
      </c>
    </row>
    <row r="5" customFormat="false" ht="15" hidden="false" customHeight="false" outlineLevel="0" collapsed="false">
      <c r="A5" s="52" t="s">
        <v>251</v>
      </c>
      <c r="B5" s="9"/>
      <c r="C5" s="53" t="s">
        <v>252</v>
      </c>
      <c r="D5" s="53" t="s">
        <v>253</v>
      </c>
      <c r="E5" s="53" t="s">
        <v>254</v>
      </c>
      <c r="F5" s="53" t="s">
        <v>255</v>
      </c>
      <c r="G5" s="53" t="s">
        <v>256</v>
      </c>
      <c r="H5" s="53" t="s">
        <v>257</v>
      </c>
      <c r="I5" s="53" t="s">
        <v>258</v>
      </c>
      <c r="J5" s="53" t="s">
        <v>259</v>
      </c>
      <c r="K5" s="53" t="s">
        <v>260</v>
      </c>
      <c r="L5" s="53" t="s">
        <v>261</v>
      </c>
    </row>
    <row r="6" customFormat="false" ht="15" hidden="false" customHeight="false" outlineLevel="0" collapsed="false">
      <c r="A6" s="7" t="s">
        <v>550</v>
      </c>
      <c r="B6" s="14" t="s">
        <v>203</v>
      </c>
      <c r="C6" s="88" t="n">
        <v>16</v>
      </c>
      <c r="D6" s="88" t="n">
        <v>18</v>
      </c>
      <c r="E6" s="88" t="n">
        <v>19</v>
      </c>
      <c r="F6" s="88" t="n">
        <v>20</v>
      </c>
      <c r="G6" s="88" t="n">
        <v>20</v>
      </c>
      <c r="H6" s="88" t="n">
        <v>20</v>
      </c>
      <c r="I6" s="88" t="n">
        <v>20</v>
      </c>
      <c r="J6" s="88" t="n">
        <v>20</v>
      </c>
      <c r="K6" s="88" t="n">
        <v>20</v>
      </c>
      <c r="L6" s="88" t="n">
        <v>20</v>
      </c>
      <c r="N6" s="14" t="s">
        <v>551</v>
      </c>
    </row>
    <row r="7" customFormat="false" ht="15" hidden="false" customHeight="false" outlineLevel="0" collapsed="false">
      <c r="A7" s="7" t="s">
        <v>552</v>
      </c>
      <c r="B7" s="14" t="s">
        <v>203</v>
      </c>
      <c r="C7" s="88" t="n">
        <v>18</v>
      </c>
      <c r="D7" s="88" t="n">
        <v>21</v>
      </c>
      <c r="E7" s="88" t="n">
        <v>23</v>
      </c>
      <c r="F7" s="88" t="n">
        <v>23</v>
      </c>
      <c r="G7" s="88" t="n">
        <v>24</v>
      </c>
      <c r="H7" s="88" t="n">
        <v>24</v>
      </c>
      <c r="I7" s="88" t="n">
        <v>24</v>
      </c>
      <c r="J7" s="88" t="n">
        <v>24</v>
      </c>
      <c r="K7" s="88" t="n">
        <v>24</v>
      </c>
      <c r="L7" s="88" t="n">
        <v>24</v>
      </c>
      <c r="N7" s="14"/>
    </row>
    <row r="8" customFormat="false" ht="15" hidden="false" customHeight="false" outlineLevel="0" collapsed="false">
      <c r="A8" s="7" t="s">
        <v>553</v>
      </c>
      <c r="B8" s="14" t="s">
        <v>203</v>
      </c>
      <c r="C8" s="88" t="n">
        <v>105</v>
      </c>
      <c r="D8" s="88" t="n">
        <v>123</v>
      </c>
      <c r="E8" s="88" t="n">
        <v>132</v>
      </c>
      <c r="F8" s="88" t="n">
        <v>136</v>
      </c>
      <c r="G8" s="88" t="n">
        <v>140</v>
      </c>
      <c r="H8" s="88" t="n">
        <v>140</v>
      </c>
      <c r="I8" s="88" t="n">
        <v>140</v>
      </c>
      <c r="J8" s="88" t="n">
        <v>140</v>
      </c>
      <c r="K8" s="88" t="n">
        <v>140</v>
      </c>
      <c r="L8" s="88" t="n">
        <v>140</v>
      </c>
      <c r="N8" s="14" t="s">
        <v>554</v>
      </c>
    </row>
    <row r="9" customFormat="false" ht="15" hidden="false" customHeight="false" outlineLevel="0" collapsed="false">
      <c r="A9" s="7" t="s">
        <v>555</v>
      </c>
      <c r="B9" s="14" t="s">
        <v>203</v>
      </c>
      <c r="C9" s="88" t="n">
        <v>34</v>
      </c>
      <c r="D9" s="88" t="n">
        <v>40</v>
      </c>
      <c r="E9" s="88" t="n">
        <v>43</v>
      </c>
      <c r="F9" s="88" t="n">
        <v>45</v>
      </c>
      <c r="G9" s="88" t="n">
        <v>46</v>
      </c>
      <c r="H9" s="88" t="n">
        <v>46</v>
      </c>
      <c r="I9" s="88" t="n">
        <v>46</v>
      </c>
      <c r="J9" s="88" t="n">
        <v>46</v>
      </c>
      <c r="K9" s="88" t="n">
        <v>46</v>
      </c>
      <c r="L9" s="88" t="n">
        <v>46</v>
      </c>
      <c r="N9" s="14"/>
    </row>
    <row r="10" customFormat="false" ht="15" hidden="false" customHeight="false" outlineLevel="0" collapsed="false">
      <c r="A10" s="7" t="s">
        <v>556</v>
      </c>
      <c r="B10" s="14" t="s">
        <v>203</v>
      </c>
      <c r="C10" s="88" t="n">
        <v>9</v>
      </c>
      <c r="D10" s="88" t="n">
        <v>10</v>
      </c>
      <c r="E10" s="88" t="n">
        <v>11</v>
      </c>
      <c r="F10" s="88" t="n">
        <v>12</v>
      </c>
      <c r="G10" s="88" t="n">
        <v>12</v>
      </c>
      <c r="H10" s="88" t="n">
        <v>12</v>
      </c>
      <c r="I10" s="88" t="n">
        <v>12</v>
      </c>
      <c r="J10" s="88" t="n">
        <v>12</v>
      </c>
      <c r="K10" s="88" t="n">
        <v>12</v>
      </c>
      <c r="L10" s="88" t="n">
        <v>12</v>
      </c>
      <c r="N10" s="14"/>
    </row>
    <row r="11" customFormat="false" ht="15" hidden="false" customHeight="false" outlineLevel="0" collapsed="false">
      <c r="A11" s="7" t="s">
        <v>557</v>
      </c>
      <c r="B11" s="14" t="s">
        <v>203</v>
      </c>
      <c r="C11" s="88" t="n">
        <v>23</v>
      </c>
      <c r="D11" s="88" t="n">
        <v>27</v>
      </c>
      <c r="E11" s="88" t="n">
        <v>29</v>
      </c>
      <c r="F11" s="88" t="n">
        <v>30</v>
      </c>
      <c r="G11" s="88" t="n">
        <v>31</v>
      </c>
      <c r="H11" s="88" t="n">
        <v>31</v>
      </c>
      <c r="I11" s="88" t="n">
        <v>31</v>
      </c>
      <c r="J11" s="88" t="n">
        <v>31</v>
      </c>
      <c r="K11" s="88" t="n">
        <v>31</v>
      </c>
      <c r="L11" s="88" t="n">
        <v>31</v>
      </c>
      <c r="N11" s="14" t="s">
        <v>558</v>
      </c>
    </row>
    <row r="12" customFormat="false" ht="15" hidden="false" customHeight="false" outlineLevel="0" collapsed="false">
      <c r="A12" s="7" t="s">
        <v>559</v>
      </c>
      <c r="B12" s="14" t="s">
        <v>203</v>
      </c>
      <c r="C12" s="88" t="n">
        <v>11</v>
      </c>
      <c r="D12" s="88" t="n">
        <v>13</v>
      </c>
      <c r="E12" s="88" t="n">
        <v>14</v>
      </c>
      <c r="F12" s="88" t="n">
        <v>15</v>
      </c>
      <c r="G12" s="88" t="n">
        <v>15</v>
      </c>
      <c r="H12" s="88" t="n">
        <v>15</v>
      </c>
      <c r="I12" s="88" t="n">
        <v>15</v>
      </c>
      <c r="J12" s="88" t="n">
        <v>15</v>
      </c>
      <c r="K12" s="88" t="n">
        <v>15</v>
      </c>
      <c r="L12" s="88" t="n">
        <v>15</v>
      </c>
      <c r="N12" s="14"/>
    </row>
    <row r="13" customFormat="false" ht="15" hidden="false" customHeight="false" outlineLevel="0" collapsed="false">
      <c r="A13" s="7" t="s">
        <v>560</v>
      </c>
      <c r="B13" s="14" t="s">
        <v>203</v>
      </c>
      <c r="C13" s="88" t="n">
        <v>19</v>
      </c>
      <c r="D13" s="88" t="n">
        <v>20</v>
      </c>
      <c r="E13" s="88" t="n">
        <v>21</v>
      </c>
      <c r="F13" s="88" t="n">
        <v>21</v>
      </c>
      <c r="G13" s="88" t="n">
        <v>21</v>
      </c>
      <c r="H13" s="88" t="n">
        <v>21</v>
      </c>
      <c r="I13" s="88" t="n">
        <v>21</v>
      </c>
      <c r="J13" s="88" t="n">
        <v>21</v>
      </c>
      <c r="K13" s="88" t="n">
        <v>21</v>
      </c>
      <c r="L13" s="88" t="n">
        <v>21</v>
      </c>
      <c r="N13" s="14"/>
    </row>
    <row r="14" customFormat="false" ht="15" hidden="false" customHeight="false" outlineLevel="0" collapsed="false">
      <c r="A14" s="35" t="s">
        <v>561</v>
      </c>
      <c r="B14" s="80" t="s">
        <v>203</v>
      </c>
      <c r="C14" s="67" t="n">
        <f aca="false">SUM(C6:C13)</f>
        <v>235</v>
      </c>
      <c r="D14" s="67" t="n">
        <f aca="false">SUM(D6:D13)</f>
        <v>272</v>
      </c>
      <c r="E14" s="67" t="n">
        <f aca="false">SUM(E6:E13)</f>
        <v>292</v>
      </c>
      <c r="F14" s="67" t="n">
        <f aca="false">SUM(F6:F13)</f>
        <v>302</v>
      </c>
      <c r="G14" s="67" t="n">
        <f aca="false">SUM(G6:G13)</f>
        <v>309</v>
      </c>
      <c r="H14" s="67" t="n">
        <f aca="false">SUM(H6:H13)</f>
        <v>309</v>
      </c>
      <c r="I14" s="67" t="n">
        <f aca="false">SUM(I6:I13)</f>
        <v>309</v>
      </c>
      <c r="J14" s="67" t="n">
        <f aca="false">SUM(J6:J13)</f>
        <v>309</v>
      </c>
      <c r="K14" s="67" t="n">
        <f aca="false">SUM(K6:K13)</f>
        <v>309</v>
      </c>
      <c r="L14" s="67" t="n">
        <f aca="false">SUM(L6:L13)</f>
        <v>309</v>
      </c>
    </row>
    <row r="15" customFormat="false" ht="15" hidden="false" customHeight="false" outlineLevel="0" collapsed="false">
      <c r="A15" s="7" t="s">
        <v>562</v>
      </c>
      <c r="B15" s="14" t="s">
        <v>563</v>
      </c>
      <c r="C15" s="89" t="n">
        <f aca="false">C14/Assumptions!$C$5</f>
        <v>2.35</v>
      </c>
      <c r="D15" s="89" t="n">
        <f aca="false">D14/Assumptions!$C$5</f>
        <v>2.72</v>
      </c>
      <c r="E15" s="89" t="n">
        <f aca="false">E14/Assumptions!$C$5</f>
        <v>2.92</v>
      </c>
      <c r="F15" s="89" t="n">
        <f aca="false">F14/Assumptions!$C$5</f>
        <v>3.02</v>
      </c>
      <c r="G15" s="89" t="n">
        <f aca="false">G14/Assumptions!$C$5</f>
        <v>3.09</v>
      </c>
      <c r="H15" s="89" t="n">
        <f aca="false">H14/Assumptions!$C$5</f>
        <v>3.09</v>
      </c>
      <c r="I15" s="89" t="n">
        <f aca="false">I14/Assumptions!$C$5</f>
        <v>3.09</v>
      </c>
      <c r="J15" s="89" t="n">
        <f aca="false">J14/Assumptions!$C$5</f>
        <v>3.09</v>
      </c>
      <c r="K15" s="89" t="n">
        <f aca="false">K14/Assumptions!$C$5</f>
        <v>3.09</v>
      </c>
      <c r="L15" s="89" t="n">
        <f aca="false">L14/Assumptions!$C$5</f>
        <v>3.09</v>
      </c>
      <c r="N15" s="14" t="s">
        <v>564</v>
      </c>
    </row>
    <row r="17" customFormat="false" ht="15" hidden="false" customHeight="false" outlineLevel="0" collapsed="false">
      <c r="A17" s="8" t="s">
        <v>565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customFormat="false" ht="15" hidden="false" customHeight="false" outlineLevel="0" collapsed="false">
      <c r="A18" s="7" t="s">
        <v>550</v>
      </c>
      <c r="B18" s="14" t="s">
        <v>566</v>
      </c>
      <c r="C18" s="34" t="n">
        <v>32</v>
      </c>
    </row>
    <row r="19" customFormat="false" ht="15" hidden="false" customHeight="false" outlineLevel="0" collapsed="false">
      <c r="A19" s="7" t="s">
        <v>552</v>
      </c>
      <c r="B19" s="14" t="s">
        <v>566</v>
      </c>
      <c r="C19" s="34" t="n">
        <v>9.5</v>
      </c>
    </row>
    <row r="20" customFormat="false" ht="15" hidden="false" customHeight="false" outlineLevel="0" collapsed="false">
      <c r="A20" s="7" t="s">
        <v>553</v>
      </c>
      <c r="B20" s="14" t="s">
        <v>566</v>
      </c>
      <c r="C20" s="34" t="n">
        <v>3.9</v>
      </c>
    </row>
    <row r="21" customFormat="false" ht="15" hidden="false" customHeight="false" outlineLevel="0" collapsed="false">
      <c r="A21" s="7" t="s">
        <v>555</v>
      </c>
      <c r="B21" s="14" t="s">
        <v>566</v>
      </c>
      <c r="C21" s="34" t="n">
        <v>4.4</v>
      </c>
    </row>
    <row r="22" customFormat="false" ht="15" hidden="false" customHeight="false" outlineLevel="0" collapsed="false">
      <c r="A22" s="7" t="s">
        <v>556</v>
      </c>
      <c r="B22" s="14" t="s">
        <v>566</v>
      </c>
      <c r="C22" s="34" t="n">
        <v>3.2</v>
      </c>
    </row>
    <row r="23" customFormat="false" ht="15" hidden="false" customHeight="false" outlineLevel="0" collapsed="false">
      <c r="A23" s="7" t="s">
        <v>557</v>
      </c>
      <c r="B23" s="14" t="s">
        <v>566</v>
      </c>
      <c r="C23" s="34" t="n">
        <v>4.2</v>
      </c>
    </row>
    <row r="24" customFormat="false" ht="15" hidden="false" customHeight="false" outlineLevel="0" collapsed="false">
      <c r="A24" s="7" t="s">
        <v>559</v>
      </c>
      <c r="B24" s="14" t="s">
        <v>566</v>
      </c>
      <c r="C24" s="34" t="n">
        <v>7</v>
      </c>
    </row>
    <row r="25" customFormat="false" ht="15" hidden="false" customHeight="false" outlineLevel="0" collapsed="false">
      <c r="A25" s="7" t="s">
        <v>560</v>
      </c>
      <c r="B25" s="14" t="s">
        <v>566</v>
      </c>
      <c r="C25" s="34" t="n">
        <v>2.6</v>
      </c>
    </row>
    <row r="27" customFormat="false" ht="15" hidden="false" customHeight="false" outlineLevel="0" collapsed="false">
      <c r="A27" s="8" t="s">
        <v>567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</row>
    <row r="28" customFormat="false" ht="15" hidden="false" customHeight="false" outlineLevel="0" collapsed="false">
      <c r="A28" s="7" t="s">
        <v>568</v>
      </c>
      <c r="B28" s="14" t="s">
        <v>162</v>
      </c>
      <c r="C28" s="81" t="n">
        <f aca="false">C6*$C$18+C7*$C$19+C8*$C$20+C9*$C$21+C10*$C$22+C11*$C$23+C12*$C$24+C13*$C$25</f>
        <v>1493.9</v>
      </c>
      <c r="D28" s="81" t="n">
        <f aca="false">D6*$C$18+D7*$C$19+D8*$C$20+D9*$C$21+D10*$C$22+D11*$C$23+D12*$C$24+D13*$C$25</f>
        <v>1719.6</v>
      </c>
      <c r="E28" s="81" t="n">
        <f aca="false">E6*$C$18+E7*$C$19+E8*$C$20+E9*$C$21+E10*$C$22+E11*$C$23+E12*$C$24+E13*$C$25</f>
        <v>1840.1</v>
      </c>
      <c r="F28" s="81" t="n">
        <f aca="false">F6*$C$18+F7*$C$19+F8*$C$20+F9*$C$21+F10*$C$22+F11*$C$23+F12*$C$24+F13*$C$25</f>
        <v>1910.9</v>
      </c>
      <c r="G28" s="81" t="n">
        <f aca="false">G6*$C$18+G7*$C$19+G8*$C$20+G9*$C$21+G10*$C$22+G11*$C$23+G12*$C$24+G13*$C$25</f>
        <v>1944.6</v>
      </c>
      <c r="H28" s="81" t="n">
        <f aca="false">H6*$C$18+H7*$C$19+H8*$C$20+H9*$C$21+H10*$C$22+H11*$C$23+H12*$C$24+H13*$C$25</f>
        <v>1944.6</v>
      </c>
      <c r="I28" s="81" t="n">
        <f aca="false">I6*$C$18+I7*$C$19+I8*$C$20+I9*$C$21+I10*$C$22+I11*$C$23+I12*$C$24+I13*$C$25</f>
        <v>1944.6</v>
      </c>
      <c r="J28" s="81" t="n">
        <f aca="false">J6*$C$18+J7*$C$19+J8*$C$20+J9*$C$21+J10*$C$22+J11*$C$23+J12*$C$24+J13*$C$25</f>
        <v>1944.6</v>
      </c>
      <c r="K28" s="81" t="n">
        <f aca="false">K6*$C$18+K7*$C$19+K8*$C$20+K9*$C$21+K10*$C$22+K11*$C$23+K12*$C$24+K13*$C$25</f>
        <v>1944.6</v>
      </c>
      <c r="L28" s="81" t="n">
        <f aca="false">L6*$C$18+L7*$C$19+L8*$C$20+L9*$C$21+L10*$C$22+L11*$C$23+L12*$C$24+L13*$C$25</f>
        <v>1944.6</v>
      </c>
    </row>
    <row r="29" customFormat="false" ht="15" hidden="false" customHeight="false" outlineLevel="0" collapsed="false">
      <c r="A29" s="7" t="s">
        <v>569</v>
      </c>
      <c r="B29" s="14" t="s">
        <v>132</v>
      </c>
      <c r="C29" s="90" t="n">
        <f aca="false">(1+Assumptions!$C$68)^0</f>
        <v>1</v>
      </c>
      <c r="D29" s="90" t="n">
        <f aca="false">(1+Assumptions!$C$68)^1</f>
        <v>1.08</v>
      </c>
      <c r="E29" s="90" t="n">
        <f aca="false">(1+Assumptions!$C$68)^2</f>
        <v>1.1664</v>
      </c>
      <c r="F29" s="90" t="n">
        <f aca="false">(1+Assumptions!$C$68)^3</f>
        <v>1.259712</v>
      </c>
      <c r="G29" s="90" t="n">
        <f aca="false">(1+Assumptions!$C$68)^4</f>
        <v>1.36048896</v>
      </c>
      <c r="H29" s="90" t="n">
        <f aca="false">(1+Assumptions!$C$68)^5</f>
        <v>1.4693280768</v>
      </c>
      <c r="I29" s="90" t="n">
        <f aca="false">(1+Assumptions!$C$68)^6</f>
        <v>1.586874322944</v>
      </c>
      <c r="J29" s="90" t="n">
        <f aca="false">(1+Assumptions!$C$68)^7</f>
        <v>1.71382426877952</v>
      </c>
      <c r="K29" s="90" t="n">
        <f aca="false">(1+Assumptions!$C$68)^8</f>
        <v>1.85093021028188</v>
      </c>
      <c r="L29" s="90" t="n">
        <f aca="false">(1+Assumptions!$C$68)^9</f>
        <v>1.99900462710443</v>
      </c>
    </row>
    <row r="30" customFormat="false" ht="15" hidden="false" customHeight="false" outlineLevel="0" collapsed="false">
      <c r="A30" s="35" t="s">
        <v>570</v>
      </c>
      <c r="B30" s="80" t="s">
        <v>162</v>
      </c>
      <c r="C30" s="67" t="n">
        <f aca="false">C28*C29</f>
        <v>1493.9</v>
      </c>
      <c r="D30" s="67" t="n">
        <f aca="false">D28*D29</f>
        <v>1857.168</v>
      </c>
      <c r="E30" s="67" t="n">
        <f aca="false">E28*E29</f>
        <v>2146.29264</v>
      </c>
      <c r="F30" s="67" t="n">
        <f aca="false">F28*F29</f>
        <v>2407.1836608</v>
      </c>
      <c r="G30" s="67" t="n">
        <f aca="false">G28*G29</f>
        <v>2645.606831616</v>
      </c>
      <c r="H30" s="67" t="n">
        <f aca="false">H28*H29</f>
        <v>2857.25537814528</v>
      </c>
      <c r="I30" s="67" t="n">
        <f aca="false">I28*I29</f>
        <v>3085.8358083969</v>
      </c>
      <c r="J30" s="67" t="n">
        <f aca="false">J28*J29</f>
        <v>3332.70267306866</v>
      </c>
      <c r="K30" s="67" t="n">
        <f aca="false">K28*K29</f>
        <v>3599.31888691415</v>
      </c>
      <c r="L30" s="67" t="n">
        <f aca="false">L28*L29</f>
        <v>3887.26439786728</v>
      </c>
    </row>
    <row r="31" customFormat="false" ht="15" hidden="false" customHeight="false" outlineLevel="0" collapsed="false">
      <c r="A31" s="7" t="s">
        <v>571</v>
      </c>
      <c r="B31" s="14" t="s">
        <v>162</v>
      </c>
      <c r="C31" s="89" t="n">
        <f aca="false">C30/C14</f>
        <v>6.35702127659574</v>
      </c>
      <c r="D31" s="89" t="n">
        <f aca="false">D30/D14</f>
        <v>6.82782352941177</v>
      </c>
      <c r="E31" s="89" t="n">
        <f aca="false">E30/E14</f>
        <v>7.35031726027397</v>
      </c>
      <c r="F31" s="89" t="n">
        <f aca="false">F30/F14</f>
        <v>7.97080682384106</v>
      </c>
      <c r="G31" s="89" t="n">
        <f aca="false">G30/G14</f>
        <v>8.56183440652428</v>
      </c>
      <c r="H31" s="89" t="n">
        <f aca="false">H30/H14</f>
        <v>9.24678115904622</v>
      </c>
      <c r="I31" s="89" t="n">
        <f aca="false">I30/I14</f>
        <v>9.98652365176992</v>
      </c>
      <c r="J31" s="89" t="n">
        <f aca="false">J30/J14</f>
        <v>10.7854455439115</v>
      </c>
      <c r="K31" s="89" t="n">
        <f aca="false">K30/K14</f>
        <v>11.6482811874244</v>
      </c>
      <c r="L31" s="89" t="n">
        <f aca="false">L30/L14</f>
        <v>12.5801436824184</v>
      </c>
    </row>
    <row r="32" customFormat="false" ht="15" hidden="false" customHeight="false" outlineLevel="0" collapsed="false">
      <c r="A32" s="7" t="s">
        <v>572</v>
      </c>
      <c r="B32" s="14" t="s">
        <v>129</v>
      </c>
      <c r="C32" s="87" t="n">
        <f aca="false">C30/'Revenue Build'!C$43</f>
        <v>0.495765227124802</v>
      </c>
      <c r="D32" s="87" t="n">
        <f aca="false">D30/'Revenue Build'!D$43</f>
        <v>0.36326696023017</v>
      </c>
      <c r="E32" s="87" t="n">
        <f aca="false">E30/'Revenue Build'!E$43</f>
        <v>0.297894335308052</v>
      </c>
      <c r="F32" s="87" t="n">
        <f aca="false">F30/'Revenue Build'!F$43</f>
        <v>0.271072051886038</v>
      </c>
      <c r="G32" s="87" t="n">
        <f aca="false">G30/'Revenue Build'!G$43</f>
        <v>0.253423754856567</v>
      </c>
      <c r="H32" s="87" t="n">
        <f aca="false">H30/'Revenue Build'!H$43</f>
        <v>0.245847805645949</v>
      </c>
      <c r="I32" s="87" t="n">
        <f aca="false">I30/'Revenue Build'!I$43</f>
        <v>0.244854348752576</v>
      </c>
      <c r="J32" s="87" t="n">
        <f aca="false">J30/'Revenue Build'!J$43</f>
        <v>0.245202581502268</v>
      </c>
      <c r="K32" s="87" t="n">
        <f aca="false">K30/'Revenue Build'!K$43</f>
        <v>0.245117607457158</v>
      </c>
      <c r="L32" s="87" t="n">
        <f aca="false">L30/'Revenue Build'!L$43</f>
        <v>0.245550466511196</v>
      </c>
      <c r="N32" s="14" t="s">
        <v>573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O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5"/>
    <col collapsed="false" customWidth="true" hidden="false" outlineLevel="0" max="16" min="3" style="0" width="13"/>
  </cols>
  <sheetData>
    <row r="1" customFormat="false" ht="24" hidden="false" customHeight="true" outlineLevel="0" collapsed="false">
      <c r="A1" s="15" t="s">
        <v>574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" hidden="false" customHeight="false" outlineLevel="0" collapsed="false">
      <c r="A2" s="16" t="s">
        <v>575</v>
      </c>
    </row>
    <row r="4" customFormat="false" ht="15" hidden="false" customHeight="false" outlineLevel="0" collapsed="false">
      <c r="A4" s="50" t="s">
        <v>380</v>
      </c>
      <c r="B4" s="50" t="s">
        <v>381</v>
      </c>
      <c r="C4" s="51" t="s">
        <v>241</v>
      </c>
      <c r="D4" s="51" t="s">
        <v>242</v>
      </c>
      <c r="E4" s="51" t="s">
        <v>243</v>
      </c>
      <c r="F4" s="51" t="s">
        <v>244</v>
      </c>
      <c r="G4" s="51" t="s">
        <v>245</v>
      </c>
      <c r="H4" s="51" t="s">
        <v>246</v>
      </c>
      <c r="I4" s="51" t="s">
        <v>247</v>
      </c>
      <c r="J4" s="51" t="s">
        <v>248</v>
      </c>
      <c r="K4" s="51" t="s">
        <v>249</v>
      </c>
      <c r="L4" s="51" t="s">
        <v>250</v>
      </c>
    </row>
    <row r="5" customFormat="false" ht="15" hidden="false" customHeight="false" outlineLevel="0" collapsed="false">
      <c r="A5" s="52" t="s">
        <v>251</v>
      </c>
      <c r="B5" s="9"/>
      <c r="C5" s="53" t="s">
        <v>252</v>
      </c>
      <c r="D5" s="53" t="s">
        <v>253</v>
      </c>
      <c r="E5" s="53" t="s">
        <v>254</v>
      </c>
      <c r="F5" s="53" t="s">
        <v>255</v>
      </c>
      <c r="G5" s="53" t="s">
        <v>256</v>
      </c>
      <c r="H5" s="53" t="s">
        <v>257</v>
      </c>
      <c r="I5" s="53" t="s">
        <v>258</v>
      </c>
      <c r="J5" s="53" t="s">
        <v>259</v>
      </c>
      <c r="K5" s="53" t="s">
        <v>260</v>
      </c>
      <c r="L5" s="53" t="s">
        <v>261</v>
      </c>
    </row>
    <row r="6" customFormat="false" ht="15" hidden="false" customHeight="false" outlineLevel="0" collapsed="false">
      <c r="A6" s="8" t="s">
        <v>576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customFormat="false" ht="15" hidden="false" customHeight="false" outlineLevel="0" collapsed="false">
      <c r="A7" s="7" t="s">
        <v>577</v>
      </c>
      <c r="B7" s="14" t="s">
        <v>578</v>
      </c>
      <c r="C7" s="81" t="n">
        <f aca="false">Assumptions!$C$65*('Revenue Build'!C$15+'Revenue Build'!C$21)</f>
        <v>292.71813604</v>
      </c>
      <c r="D7" s="81" t="n">
        <f aca="false">Assumptions!$C$65*('Revenue Build'!D$15+'Revenue Build'!D$21)</f>
        <v>496.81206091</v>
      </c>
      <c r="E7" s="81" t="n">
        <f aca="false">Assumptions!$C$65*('Revenue Build'!E$15+'Revenue Build'!E$21)</f>
        <v>697.154819921725</v>
      </c>
      <c r="F7" s="81" t="n">
        <f aca="false">Assumptions!$C$65*('Revenue Build'!F$15+'Revenue Build'!F$21)</f>
        <v>856.946859715193</v>
      </c>
      <c r="G7" s="81" t="n">
        <f aca="false">Assumptions!$C$65*('Revenue Build'!G$15+'Revenue Build'!G$21)</f>
        <v>1004.95333513333</v>
      </c>
      <c r="H7" s="81" t="n">
        <f aca="false">Assumptions!$C$65*('Revenue Build'!H$15+'Revenue Build'!H$21)</f>
        <v>1116.29456779627</v>
      </c>
      <c r="I7" s="81" t="n">
        <f aca="false">Assumptions!$C$65*('Revenue Build'!I$15+'Revenue Build'!I$21)</f>
        <v>1204.24787874007</v>
      </c>
      <c r="J7" s="81" t="n">
        <f aca="false">Assumptions!$C$65*('Revenue Build'!J$15+'Revenue Build'!J$21)</f>
        <v>1296.84888285553</v>
      </c>
      <c r="K7" s="81" t="n">
        <f aca="false">Assumptions!$C$65*('Revenue Build'!K$15+'Revenue Build'!K$21)</f>
        <v>1396.46851777961</v>
      </c>
      <c r="L7" s="81" t="n">
        <f aca="false">Assumptions!$C$65*('Revenue Build'!L$15+'Revenue Build'!L$21)</f>
        <v>1503.63379079539</v>
      </c>
    </row>
    <row r="8" customFormat="false" ht="15" hidden="false" customHeight="false" outlineLevel="0" collapsed="false">
      <c r="A8" s="7" t="s">
        <v>579</v>
      </c>
      <c r="B8" s="14" t="s">
        <v>580</v>
      </c>
      <c r="C8" s="81" t="n">
        <f aca="false">Assumptions!$C$66*'Revenue Build'!C$43</f>
        <v>693.06393672</v>
      </c>
      <c r="D8" s="81" t="n">
        <f aca="false">Assumptions!$C$66*'Revenue Build'!D$43</f>
        <v>1175.85326155</v>
      </c>
      <c r="E8" s="81" t="n">
        <f aca="false">Assumptions!$C$66*'Revenue Build'!E$43</f>
        <v>1657.12216947502</v>
      </c>
      <c r="F8" s="81" t="n">
        <f aca="false">Assumptions!$C$66*'Revenue Build'!F$43</f>
        <v>2042.45416719228</v>
      </c>
      <c r="G8" s="81" t="n">
        <f aca="false">Assumptions!$C$66*'Revenue Build'!G$43</f>
        <v>2401.07550934234</v>
      </c>
      <c r="H8" s="81" t="n">
        <f aca="false">Assumptions!$C$66*'Revenue Build'!H$43</f>
        <v>2673.07139572284</v>
      </c>
      <c r="I8" s="81" t="n">
        <f aca="false">Assumptions!$C$66*'Revenue Build'!I$43</f>
        <v>2898.63030633154</v>
      </c>
      <c r="J8" s="81" t="n">
        <f aca="false">Assumptions!$C$66*'Revenue Build'!J$43</f>
        <v>3126.07481580981</v>
      </c>
      <c r="K8" s="81" t="n">
        <f aca="false">Assumptions!$C$66*'Revenue Build'!K$43</f>
        <v>3377.33120267562</v>
      </c>
      <c r="L8" s="81" t="n">
        <f aca="false">Assumptions!$C$66*'Revenue Build'!L$43</f>
        <v>3641.08781470675</v>
      </c>
    </row>
    <row r="9" customFormat="false" ht="15" hidden="false" customHeight="false" outlineLevel="0" collapsed="false">
      <c r="A9" s="35" t="s">
        <v>581</v>
      </c>
      <c r="B9" s="80" t="s">
        <v>162</v>
      </c>
      <c r="C9" s="67" t="n">
        <f aca="false">C7+C8</f>
        <v>985.78207276</v>
      </c>
      <c r="D9" s="67" t="n">
        <f aca="false">D7+D8</f>
        <v>1672.66532246</v>
      </c>
      <c r="E9" s="67" t="n">
        <f aca="false">E7+E8</f>
        <v>2354.27698939675</v>
      </c>
      <c r="F9" s="67" t="n">
        <f aca="false">F7+F8</f>
        <v>2899.40102690747</v>
      </c>
      <c r="G9" s="67" t="n">
        <f aca="false">G7+G8</f>
        <v>3406.02884447567</v>
      </c>
      <c r="H9" s="67" t="n">
        <f aca="false">H7+H8</f>
        <v>3789.36596351911</v>
      </c>
      <c r="I9" s="67" t="n">
        <f aca="false">I7+I8</f>
        <v>4102.87818507161</v>
      </c>
      <c r="J9" s="67" t="n">
        <f aca="false">J7+J8</f>
        <v>4422.92369866534</v>
      </c>
      <c r="K9" s="67" t="n">
        <f aca="false">K7+K8</f>
        <v>4773.79972045523</v>
      </c>
      <c r="L9" s="67" t="n">
        <f aca="false">L7+L8</f>
        <v>5144.72160550214</v>
      </c>
    </row>
    <row r="11" customFormat="false" ht="15" hidden="false" customHeight="false" outlineLevel="0" collapsed="false">
      <c r="A11" s="8" t="s">
        <v>582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customFormat="false" ht="15" hidden="false" customHeight="false" outlineLevel="0" collapsed="false">
      <c r="A12" s="7" t="s">
        <v>583</v>
      </c>
      <c r="B12" s="14" t="s">
        <v>162</v>
      </c>
      <c r="C12" s="79" t="n">
        <f aca="false">Manpower!C$30</f>
        <v>1493.9</v>
      </c>
      <c r="D12" s="79" t="n">
        <f aca="false">Manpower!D$30</f>
        <v>1857.168</v>
      </c>
      <c r="E12" s="79" t="n">
        <f aca="false">Manpower!E$30</f>
        <v>2146.29264</v>
      </c>
      <c r="F12" s="79" t="n">
        <f aca="false">Manpower!F$30</f>
        <v>2407.1836608</v>
      </c>
      <c r="G12" s="79" t="n">
        <f aca="false">Manpower!G$30</f>
        <v>2645.606831616</v>
      </c>
      <c r="H12" s="79" t="n">
        <f aca="false">Manpower!H$30</f>
        <v>2857.25537814528</v>
      </c>
      <c r="I12" s="79" t="n">
        <f aca="false">Manpower!I$30</f>
        <v>3085.8358083969</v>
      </c>
      <c r="J12" s="79" t="n">
        <f aca="false">Manpower!J$30</f>
        <v>3332.70267306866</v>
      </c>
      <c r="K12" s="79" t="n">
        <f aca="false">Manpower!K$30</f>
        <v>3599.31888691415</v>
      </c>
      <c r="L12" s="79" t="n">
        <f aca="false">Manpower!L$30</f>
        <v>3887.26439786728</v>
      </c>
    </row>
    <row r="13" customFormat="false" ht="15" hidden="false" customHeight="false" outlineLevel="0" collapsed="false">
      <c r="A13" s="7" t="s">
        <v>584</v>
      </c>
      <c r="B13" s="14" t="s">
        <v>162</v>
      </c>
      <c r="C13" s="79" t="n">
        <f aca="false">Assumptions!C$72</f>
        <v>200</v>
      </c>
      <c r="D13" s="79" t="n">
        <f aca="false">Assumptions!D$72</f>
        <v>250</v>
      </c>
      <c r="E13" s="79" t="n">
        <f aca="false">Assumptions!E$72</f>
        <v>310</v>
      </c>
      <c r="F13" s="79" t="n">
        <f aca="false">Assumptions!F$72</f>
        <v>380</v>
      </c>
      <c r="G13" s="79" t="n">
        <f aca="false">Assumptions!G$72</f>
        <v>460</v>
      </c>
      <c r="H13" s="79" t="n">
        <f aca="false">Assumptions!H$72</f>
        <v>500</v>
      </c>
      <c r="I13" s="79" t="n">
        <f aca="false">Assumptions!I$72</f>
        <v>530</v>
      </c>
      <c r="J13" s="79" t="n">
        <f aca="false">Assumptions!J$72</f>
        <v>560</v>
      </c>
      <c r="K13" s="79" t="n">
        <f aca="false">Assumptions!K$72</f>
        <v>590</v>
      </c>
      <c r="L13" s="79" t="n">
        <f aca="false">Assumptions!L$72</f>
        <v>620</v>
      </c>
    </row>
    <row r="14" customFormat="false" ht="15" hidden="false" customHeight="false" outlineLevel="0" collapsed="false">
      <c r="A14" s="7" t="s">
        <v>585</v>
      </c>
      <c r="B14" s="14" t="s">
        <v>162</v>
      </c>
      <c r="C14" s="79" t="n">
        <f aca="false">Assumptions!C$73</f>
        <v>185</v>
      </c>
      <c r="D14" s="79" t="n">
        <f aca="false">Assumptions!D$73</f>
        <v>215</v>
      </c>
      <c r="E14" s="79" t="n">
        <f aca="false">Assumptions!E$73</f>
        <v>265</v>
      </c>
      <c r="F14" s="79" t="n">
        <f aca="false">Assumptions!F$73</f>
        <v>300</v>
      </c>
      <c r="G14" s="79" t="n">
        <f aca="false">Assumptions!G$73</f>
        <v>420</v>
      </c>
      <c r="H14" s="79" t="n">
        <f aca="false">Assumptions!H$73</f>
        <v>445</v>
      </c>
      <c r="I14" s="79" t="n">
        <f aca="false">Assumptions!I$73</f>
        <v>470</v>
      </c>
      <c r="J14" s="79" t="n">
        <f aca="false">Assumptions!J$73</f>
        <v>495</v>
      </c>
      <c r="K14" s="79" t="n">
        <f aca="false">Assumptions!K$73</f>
        <v>520</v>
      </c>
      <c r="L14" s="79" t="n">
        <f aca="false">Assumptions!L$73</f>
        <v>545</v>
      </c>
    </row>
    <row r="15" customFormat="false" ht="15" hidden="false" customHeight="false" outlineLevel="0" collapsed="false">
      <c r="A15" s="7" t="s">
        <v>586</v>
      </c>
      <c r="B15" s="14" t="s">
        <v>162</v>
      </c>
      <c r="C15" s="79" t="n">
        <f aca="false">Assumptions!C$74</f>
        <v>120</v>
      </c>
      <c r="D15" s="79" t="n">
        <f aca="false">Assumptions!D$74</f>
        <v>145</v>
      </c>
      <c r="E15" s="79" t="n">
        <f aca="false">Assumptions!E$74</f>
        <v>190</v>
      </c>
      <c r="F15" s="79" t="n">
        <f aca="false">Assumptions!F$74</f>
        <v>240</v>
      </c>
      <c r="G15" s="79" t="n">
        <f aca="false">Assumptions!G$74</f>
        <v>300</v>
      </c>
      <c r="H15" s="79" t="n">
        <f aca="false">Assumptions!H$74</f>
        <v>330</v>
      </c>
      <c r="I15" s="79" t="n">
        <f aca="false">Assumptions!I$74</f>
        <v>355</v>
      </c>
      <c r="J15" s="79" t="n">
        <f aca="false">Assumptions!J$74</f>
        <v>380</v>
      </c>
      <c r="K15" s="79" t="n">
        <f aca="false">Assumptions!K$74</f>
        <v>405</v>
      </c>
      <c r="L15" s="79" t="n">
        <f aca="false">Assumptions!L$74</f>
        <v>430</v>
      </c>
    </row>
    <row r="16" customFormat="false" ht="15" hidden="false" customHeight="false" outlineLevel="0" collapsed="false">
      <c r="A16" s="7" t="s">
        <v>587</v>
      </c>
      <c r="B16" s="14" t="s">
        <v>162</v>
      </c>
      <c r="C16" s="79" t="n">
        <f aca="false">Assumptions!C$75</f>
        <v>155</v>
      </c>
      <c r="D16" s="79" t="n">
        <f aca="false">Assumptions!D$75</f>
        <v>180</v>
      </c>
      <c r="E16" s="79" t="n">
        <f aca="false">Assumptions!E$75</f>
        <v>230</v>
      </c>
      <c r="F16" s="79" t="n">
        <f aca="false">Assumptions!F$75</f>
        <v>300</v>
      </c>
      <c r="G16" s="79" t="n">
        <f aca="false">Assumptions!G$75</f>
        <v>380</v>
      </c>
      <c r="H16" s="79" t="n">
        <f aca="false">Assumptions!H$75</f>
        <v>410</v>
      </c>
      <c r="I16" s="79" t="n">
        <f aca="false">Assumptions!I$75</f>
        <v>440</v>
      </c>
      <c r="J16" s="79" t="n">
        <f aca="false">Assumptions!J$75</f>
        <v>470</v>
      </c>
      <c r="K16" s="79" t="n">
        <f aca="false">Assumptions!K$75</f>
        <v>500</v>
      </c>
      <c r="L16" s="79" t="n">
        <f aca="false">Assumptions!L$75</f>
        <v>530</v>
      </c>
    </row>
    <row r="17" customFormat="false" ht="15" hidden="false" customHeight="false" outlineLevel="0" collapsed="false">
      <c r="A17" s="7" t="s">
        <v>588</v>
      </c>
      <c r="B17" s="14" t="s">
        <v>162</v>
      </c>
      <c r="C17" s="79" t="n">
        <f aca="false">Assumptions!C$76</f>
        <v>170</v>
      </c>
      <c r="D17" s="79" t="n">
        <f aca="false">Assumptions!D$76</f>
        <v>175</v>
      </c>
      <c r="E17" s="79" t="n">
        <f aca="false">Assumptions!E$76</f>
        <v>180</v>
      </c>
      <c r="F17" s="79" t="n">
        <f aca="false">Assumptions!F$76</f>
        <v>185</v>
      </c>
      <c r="G17" s="79" t="n">
        <f aca="false">Assumptions!G$76</f>
        <v>190</v>
      </c>
      <c r="H17" s="79" t="n">
        <f aca="false">Assumptions!H$76</f>
        <v>200</v>
      </c>
      <c r="I17" s="79" t="n">
        <f aca="false">Assumptions!I$76</f>
        <v>210</v>
      </c>
      <c r="J17" s="79" t="n">
        <f aca="false">Assumptions!J$76</f>
        <v>220</v>
      </c>
      <c r="K17" s="79" t="n">
        <f aca="false">Assumptions!K$76</f>
        <v>230</v>
      </c>
      <c r="L17" s="79" t="n">
        <f aca="false">Assumptions!L$76</f>
        <v>240</v>
      </c>
    </row>
    <row r="18" customFormat="false" ht="15" hidden="false" customHeight="false" outlineLevel="0" collapsed="false">
      <c r="A18" s="7" t="s">
        <v>589</v>
      </c>
      <c r="B18" s="14" t="s">
        <v>162</v>
      </c>
      <c r="C18" s="79" t="n">
        <f aca="false">Assumptions!C$77</f>
        <v>90</v>
      </c>
      <c r="D18" s="79" t="n">
        <f aca="false">Assumptions!D$77</f>
        <v>100</v>
      </c>
      <c r="E18" s="79" t="n">
        <f aca="false">Assumptions!E$77</f>
        <v>120</v>
      </c>
      <c r="F18" s="79" t="n">
        <f aca="false">Assumptions!F$77</f>
        <v>140</v>
      </c>
      <c r="G18" s="79" t="n">
        <f aca="false">Assumptions!G$77</f>
        <v>160</v>
      </c>
      <c r="H18" s="79" t="n">
        <f aca="false">Assumptions!H$77</f>
        <v>172</v>
      </c>
      <c r="I18" s="79" t="n">
        <f aca="false">Assumptions!I$77</f>
        <v>184</v>
      </c>
      <c r="J18" s="79" t="n">
        <f aca="false">Assumptions!J$77</f>
        <v>196</v>
      </c>
      <c r="K18" s="79" t="n">
        <f aca="false">Assumptions!K$77</f>
        <v>208</v>
      </c>
      <c r="L18" s="79" t="n">
        <f aca="false">Assumptions!L$77</f>
        <v>220</v>
      </c>
    </row>
    <row r="19" customFormat="false" ht="15" hidden="false" customHeight="false" outlineLevel="0" collapsed="false">
      <c r="A19" s="35" t="s">
        <v>590</v>
      </c>
      <c r="B19" s="80" t="s">
        <v>162</v>
      </c>
      <c r="C19" s="67" t="n">
        <f aca="false">SUM(C12:C18)</f>
        <v>2413.9</v>
      </c>
      <c r="D19" s="67" t="n">
        <f aca="false">SUM(D12:D18)</f>
        <v>2922.168</v>
      </c>
      <c r="E19" s="67" t="n">
        <f aca="false">SUM(E12:E18)</f>
        <v>3441.29264</v>
      </c>
      <c r="F19" s="67" t="n">
        <f aca="false">SUM(F12:F18)</f>
        <v>3952.1836608</v>
      </c>
      <c r="G19" s="67" t="n">
        <f aca="false">SUM(G12:G18)</f>
        <v>4555.606831616</v>
      </c>
      <c r="H19" s="67" t="n">
        <f aca="false">SUM(H12:H18)</f>
        <v>4914.25537814528</v>
      </c>
      <c r="I19" s="67" t="n">
        <f aca="false">SUM(I12:I18)</f>
        <v>5274.8358083969</v>
      </c>
      <c r="J19" s="67" t="n">
        <f aca="false">SUM(J12:J18)</f>
        <v>5653.70267306866</v>
      </c>
      <c r="K19" s="67" t="n">
        <f aca="false">SUM(K12:K18)</f>
        <v>6052.31888691415</v>
      </c>
      <c r="L19" s="67" t="n">
        <f aca="false">SUM(L12:L18)</f>
        <v>6472.26439786728</v>
      </c>
    </row>
    <row r="21" customFormat="false" ht="15" hidden="false" customHeight="false" outlineLevel="0" collapsed="false">
      <c r="A21" s="19" t="s">
        <v>591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</row>
    <row r="22" customFormat="false" ht="15" hidden="false" customHeight="false" outlineLevel="0" collapsed="false">
      <c r="A22" s="35" t="s">
        <v>592</v>
      </c>
      <c r="B22" s="80" t="s">
        <v>162</v>
      </c>
      <c r="C22" s="67" t="n">
        <f aca="false">C9+C19</f>
        <v>3399.68207276</v>
      </c>
      <c r="D22" s="67" t="n">
        <f aca="false">D9+D19</f>
        <v>4594.83332246</v>
      </c>
      <c r="E22" s="67" t="n">
        <f aca="false">E9+E19</f>
        <v>5795.56962939675</v>
      </c>
      <c r="F22" s="67" t="n">
        <f aca="false">F9+F19</f>
        <v>6851.58468770747</v>
      </c>
      <c r="G22" s="67" t="n">
        <f aca="false">G9+G19</f>
        <v>7961.63567609167</v>
      </c>
      <c r="H22" s="67" t="n">
        <f aca="false">H9+H19</f>
        <v>8703.62134166439</v>
      </c>
      <c r="I22" s="67" t="n">
        <f aca="false">I9+I19</f>
        <v>9377.71399346851</v>
      </c>
      <c r="J22" s="67" t="n">
        <f aca="false">J9+J19</f>
        <v>10076.626371734</v>
      </c>
      <c r="K22" s="67" t="n">
        <f aca="false">K9+K19</f>
        <v>10826.1186073694</v>
      </c>
      <c r="L22" s="67" t="n">
        <f aca="false">L9+L19</f>
        <v>11616.9860033694</v>
      </c>
    </row>
    <row r="23" customFormat="false" ht="15" hidden="false" customHeight="false" outlineLevel="0" collapsed="false">
      <c r="A23" s="7" t="s">
        <v>593</v>
      </c>
      <c r="B23" s="14" t="s">
        <v>129</v>
      </c>
      <c r="C23" s="87" t="n">
        <f aca="false">C22/'Revenue Build'!C$43</f>
        <v>1.12821752122229</v>
      </c>
      <c r="D23" s="87" t="n">
        <f aca="false">D22/'Revenue Build'!D$43</f>
        <v>0.898761519590225</v>
      </c>
      <c r="E23" s="87" t="n">
        <f aca="false">E22/'Revenue Build'!E$43</f>
        <v>0.804395137133154</v>
      </c>
      <c r="F23" s="87" t="n">
        <f aca="false">F22/'Revenue Build'!F$43</f>
        <v>0.771554389560197</v>
      </c>
      <c r="G23" s="87" t="n">
        <f aca="false">G22/'Revenue Build'!G$43</f>
        <v>0.762648320877941</v>
      </c>
      <c r="H23" s="87" t="n">
        <f aca="false">H22/'Revenue Build'!H$43</f>
        <v>0.748888679810771</v>
      </c>
      <c r="I23" s="87" t="n">
        <f aca="false">I22/'Revenue Build'!I$43</f>
        <v>0.744101175574702</v>
      </c>
      <c r="J23" s="87" t="n">
        <f aca="false">J22/'Revenue Build'!J$43</f>
        <v>0.741384708317815</v>
      </c>
      <c r="K23" s="87" t="n">
        <f aca="false">K22/'Revenue Build'!K$43</f>
        <v>0.737270682165344</v>
      </c>
      <c r="L23" s="87" t="n">
        <f aca="false">L22/'Revenue Build'!L$43</f>
        <v>0.733821021833872</v>
      </c>
    </row>
    <row r="25" customFormat="false" ht="15" hidden="false" customHeight="false" outlineLevel="0" collapsed="false">
      <c r="A25" s="19" t="s">
        <v>594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</row>
    <row r="26" customFormat="false" ht="15" hidden="false" customHeight="false" outlineLevel="0" collapsed="false">
      <c r="A26" s="35" t="s">
        <v>594</v>
      </c>
      <c r="B26" s="80" t="s">
        <v>162</v>
      </c>
      <c r="C26" s="67" t="n">
        <f aca="false">'Revenue Build'!C$43-C22</f>
        <v>-386.36060876</v>
      </c>
      <c r="D26" s="67" t="n">
        <f aca="false">'Revenue Build'!D$43-D22</f>
        <v>517.572162539999</v>
      </c>
      <c r="E26" s="67" t="n">
        <f aca="false">'Revenue Build'!E$43-E22</f>
        <v>1409.30936832075</v>
      </c>
      <c r="F26" s="67" t="n">
        <f aca="false">'Revenue Build'!F$43-F22</f>
        <v>2028.65082182417</v>
      </c>
      <c r="G26" s="67" t="n">
        <f aca="false">'Revenue Build'!G$43-G22</f>
        <v>2477.82306017938</v>
      </c>
      <c r="H26" s="67" t="n">
        <f aca="false">'Revenue Build'!H$43-H22</f>
        <v>2918.42820495664</v>
      </c>
      <c r="I26" s="67" t="n">
        <f aca="false">'Revenue Build'!I$43-I22</f>
        <v>3225.02646884253</v>
      </c>
      <c r="J26" s="67" t="n">
        <f aca="false">'Revenue Build'!J$43-J22</f>
        <v>3515.00326222168</v>
      </c>
      <c r="K26" s="67" t="n">
        <f aca="false">'Revenue Build'!K$43-K22</f>
        <v>3857.93009991592</v>
      </c>
      <c r="L26" s="67" t="n">
        <f aca="false">'Revenue Build'!L$43-L22</f>
        <v>4213.83058231209</v>
      </c>
    </row>
    <row r="27" customFormat="false" ht="15" hidden="false" customHeight="false" outlineLevel="0" collapsed="false">
      <c r="A27" s="6" t="s">
        <v>595</v>
      </c>
      <c r="B27" s="14" t="s">
        <v>129</v>
      </c>
      <c r="C27" s="55" t="n">
        <f aca="false">C26/'Revenue Build'!C$43</f>
        <v>-0.128217521222289</v>
      </c>
      <c r="D27" s="55" t="n">
        <f aca="false">D26/'Revenue Build'!D$43</f>
        <v>0.101238480409775</v>
      </c>
      <c r="E27" s="55" t="n">
        <f aca="false">E26/'Revenue Build'!E$43</f>
        <v>0.195604862866846</v>
      </c>
      <c r="F27" s="55" t="n">
        <f aca="false">F26/'Revenue Build'!F$43</f>
        <v>0.228445610439803</v>
      </c>
      <c r="G27" s="55" t="n">
        <f aca="false">G26/'Revenue Build'!G$43</f>
        <v>0.237351679122059</v>
      </c>
      <c r="H27" s="55" t="n">
        <f aca="false">H26/'Revenue Build'!H$43</f>
        <v>0.25111132018923</v>
      </c>
      <c r="I27" s="55" t="n">
        <f aca="false">I26/'Revenue Build'!I$43</f>
        <v>0.255898824425298</v>
      </c>
      <c r="J27" s="55" t="n">
        <f aca="false">J26/'Revenue Build'!J$43</f>
        <v>0.258615291682185</v>
      </c>
      <c r="K27" s="55" t="n">
        <f aca="false">K26/'Revenue Build'!K$43</f>
        <v>0.262729317834656</v>
      </c>
      <c r="L27" s="55" t="n">
        <f aca="false">L26/'Revenue Build'!L$43</f>
        <v>0.266178978166128</v>
      </c>
      <c r="N27" s="14" t="s">
        <v>596</v>
      </c>
    </row>
    <row r="28" customFormat="false" ht="15" hidden="false" customHeight="false" outlineLevel="0" collapsed="false">
      <c r="A28" s="7" t="s">
        <v>597</v>
      </c>
      <c r="B28" s="14" t="s">
        <v>162</v>
      </c>
      <c r="C28" s="86" t="n">
        <f aca="false">C26/Assumptions!$C$5</f>
        <v>-3.8636060876</v>
      </c>
      <c r="D28" s="86" t="n">
        <f aca="false">D26/Assumptions!$C$5</f>
        <v>5.17572162539999</v>
      </c>
      <c r="E28" s="86" t="n">
        <f aca="false">E26/Assumptions!$C$5</f>
        <v>14.0930936832075</v>
      </c>
      <c r="F28" s="86" t="n">
        <f aca="false">F26/Assumptions!$C$5</f>
        <v>20.2865082182417</v>
      </c>
      <c r="G28" s="86" t="n">
        <f aca="false">G26/Assumptions!$C$5</f>
        <v>24.7782306017937</v>
      </c>
      <c r="H28" s="86" t="n">
        <f aca="false">H26/Assumptions!$C$5</f>
        <v>29.1842820495664</v>
      </c>
      <c r="I28" s="86" t="n">
        <f aca="false">I26/Assumptions!$C$5</f>
        <v>32.2502646884253</v>
      </c>
      <c r="J28" s="86" t="n">
        <f aca="false">J26/Assumptions!$C$5</f>
        <v>35.1500326222168</v>
      </c>
      <c r="K28" s="86" t="n">
        <f aca="false">K26/Assumptions!$C$5</f>
        <v>38.5793009991592</v>
      </c>
      <c r="L28" s="86" t="n">
        <f aca="false">L26/Assumptions!$C$5</f>
        <v>42.1383058231209</v>
      </c>
    </row>
    <row r="30" customFormat="false" ht="15" hidden="false" customHeight="false" outlineLevel="0" collapsed="false">
      <c r="A30" s="8" t="s">
        <v>598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</row>
    <row r="31" customFormat="false" ht="15" hidden="false" customHeight="false" outlineLevel="0" collapsed="false">
      <c r="A31" s="7" t="s">
        <v>599</v>
      </c>
      <c r="B31" s="14" t="s">
        <v>129</v>
      </c>
      <c r="C31" s="87" t="n">
        <f aca="false">C9/'Revenue Build'!C$43</f>
        <v>0.327141356983345</v>
      </c>
      <c r="D31" s="87" t="n">
        <f aca="false">D9/'Revenue Build'!D$43</f>
        <v>0.327177749763329</v>
      </c>
      <c r="E31" s="87" t="n">
        <f aca="false">E9/'Revenue Build'!E$43</f>
        <v>0.32676148900524</v>
      </c>
      <c r="F31" s="87" t="n">
        <f aca="false">F9/'Revenue Build'!F$43</f>
        <v>0.326500465420696</v>
      </c>
      <c r="G31" s="87" t="n">
        <f aca="false">G9/'Revenue Build'!G$43</f>
        <v>0.326264888872227</v>
      </c>
      <c r="H31" s="87" t="n">
        <f aca="false">H9/'Revenue Build'!H$43</f>
        <v>0.326049716817876</v>
      </c>
      <c r="I31" s="87" t="n">
        <f aca="false">I9/'Revenue Build'!I$43</f>
        <v>0.325554445665323</v>
      </c>
      <c r="J31" s="87" t="n">
        <f aca="false">J9/'Revenue Build'!J$43</f>
        <v>0.325415260552395</v>
      </c>
      <c r="K31" s="87" t="n">
        <f aca="false">K9/'Revenue Build'!K$43</f>
        <v>0.325101054594485</v>
      </c>
      <c r="L31" s="87" t="n">
        <f aca="false">L9/'Revenue Build'!L$43</f>
        <v>0.32498144221792</v>
      </c>
    </row>
    <row r="32" customFormat="false" ht="15" hidden="false" customHeight="false" outlineLevel="0" collapsed="false">
      <c r="A32" s="7" t="s">
        <v>600</v>
      </c>
      <c r="B32" s="14" t="s">
        <v>129</v>
      </c>
      <c r="C32" s="87" t="n">
        <f aca="false">C19/'Revenue Build'!C$43</f>
        <v>0.801076164238944</v>
      </c>
      <c r="D32" s="87" t="n">
        <f aca="false">D19/'Revenue Build'!D$43</f>
        <v>0.571583769826896</v>
      </c>
      <c r="E32" s="87" t="n">
        <f aca="false">E19/'Revenue Build'!E$43</f>
        <v>0.477633648127914</v>
      </c>
      <c r="F32" s="87" t="n">
        <f aca="false">F19/'Revenue Build'!F$43</f>
        <v>0.445053924139501</v>
      </c>
      <c r="G32" s="87" t="n">
        <f aca="false">G19/'Revenue Build'!G$43</f>
        <v>0.436383432005715</v>
      </c>
      <c r="H32" s="87" t="n">
        <f aca="false">H19/'Revenue Build'!H$43</f>
        <v>0.422838962992895</v>
      </c>
      <c r="I32" s="87" t="n">
        <f aca="false">I19/'Revenue Build'!I$43</f>
        <v>0.418546729909379</v>
      </c>
      <c r="J32" s="87" t="n">
        <f aca="false">J19/'Revenue Build'!J$43</f>
        <v>0.41596944776542</v>
      </c>
      <c r="K32" s="87" t="n">
        <f aca="false">K19/'Revenue Build'!K$43</f>
        <v>0.41216962757086</v>
      </c>
      <c r="L32" s="87" t="n">
        <f aca="false">L19/'Revenue Build'!L$43</f>
        <v>0.408839579615953</v>
      </c>
      <c r="N32" s="14" t="s">
        <v>601</v>
      </c>
    </row>
    <row r="33" customFormat="false" ht="15" hidden="false" customHeight="false" outlineLevel="0" collapsed="false">
      <c r="A33" s="6" t="s">
        <v>602</v>
      </c>
      <c r="B33" s="14" t="s">
        <v>129</v>
      </c>
      <c r="C33" s="55" t="n">
        <f aca="false">1-C31</f>
        <v>0.672858643016655</v>
      </c>
      <c r="D33" s="55" t="n">
        <f aca="false">1-D31</f>
        <v>0.672822250236671</v>
      </c>
      <c r="E33" s="55" t="n">
        <f aca="false">1-E31</f>
        <v>0.67323851099476</v>
      </c>
      <c r="F33" s="55" t="n">
        <f aca="false">1-F31</f>
        <v>0.673499534579304</v>
      </c>
      <c r="G33" s="55" t="n">
        <f aca="false">1-G31</f>
        <v>0.673735111127774</v>
      </c>
      <c r="H33" s="55" t="n">
        <f aca="false">1-H31</f>
        <v>0.673950283182124</v>
      </c>
      <c r="I33" s="55" t="n">
        <f aca="false">1-I31</f>
        <v>0.674445554334677</v>
      </c>
      <c r="J33" s="55" t="n">
        <f aca="false">1-J31</f>
        <v>0.674584739447605</v>
      </c>
      <c r="K33" s="55" t="n">
        <f aca="false">1-K31</f>
        <v>0.674898945405515</v>
      </c>
      <c r="L33" s="55" t="n">
        <f aca="false">1-L31</f>
        <v>0.67501855778208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O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5"/>
    <col collapsed="false" customWidth="true" hidden="false" outlineLevel="0" max="16" min="3" style="0" width="13"/>
  </cols>
  <sheetData>
    <row r="1" customFormat="false" ht="24" hidden="false" customHeight="true" outlineLevel="0" collapsed="false">
      <c r="A1" s="15" t="s">
        <v>603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" hidden="false" customHeight="false" outlineLevel="0" collapsed="false">
      <c r="A2" s="16" t="s">
        <v>604</v>
      </c>
    </row>
    <row r="4" customFormat="false" ht="15" hidden="false" customHeight="false" outlineLevel="0" collapsed="false">
      <c r="A4" s="50" t="s">
        <v>473</v>
      </c>
      <c r="B4" s="50" t="s">
        <v>381</v>
      </c>
      <c r="C4" s="51" t="s">
        <v>241</v>
      </c>
      <c r="D4" s="51" t="s">
        <v>242</v>
      </c>
      <c r="E4" s="51" t="s">
        <v>243</v>
      </c>
      <c r="F4" s="51" t="s">
        <v>244</v>
      </c>
      <c r="G4" s="51" t="s">
        <v>245</v>
      </c>
      <c r="H4" s="51" t="s">
        <v>246</v>
      </c>
      <c r="I4" s="51" t="s">
        <v>247</v>
      </c>
      <c r="J4" s="51" t="s">
        <v>248</v>
      </c>
      <c r="K4" s="51" t="s">
        <v>249</v>
      </c>
      <c r="L4" s="51" t="s">
        <v>250</v>
      </c>
    </row>
    <row r="5" customFormat="false" ht="15" hidden="false" customHeight="false" outlineLevel="0" collapsed="false">
      <c r="A5" s="52" t="s">
        <v>251</v>
      </c>
      <c r="B5" s="9"/>
      <c r="C5" s="53" t="s">
        <v>252</v>
      </c>
      <c r="D5" s="53" t="s">
        <v>253</v>
      </c>
      <c r="E5" s="53" t="s">
        <v>254</v>
      </c>
      <c r="F5" s="53" t="s">
        <v>255</v>
      </c>
      <c r="G5" s="53" t="s">
        <v>256</v>
      </c>
      <c r="H5" s="53" t="s">
        <v>257</v>
      </c>
      <c r="I5" s="53" t="s">
        <v>258</v>
      </c>
      <c r="J5" s="53" t="s">
        <v>259</v>
      </c>
      <c r="K5" s="53" t="s">
        <v>260</v>
      </c>
      <c r="L5" s="53" t="s">
        <v>261</v>
      </c>
    </row>
    <row r="6" customFormat="false" ht="15" hidden="false" customHeight="false" outlineLevel="0" collapsed="false">
      <c r="A6" s="8" t="s">
        <v>605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customFormat="false" ht="15" hidden="false" customHeight="false" outlineLevel="0" collapsed="false">
      <c r="A7" s="7" t="s">
        <v>606</v>
      </c>
      <c r="B7" s="14" t="s">
        <v>237</v>
      </c>
      <c r="C7" s="83" t="n">
        <f aca="false">Assumptions!$C$80</f>
        <v>47.95</v>
      </c>
      <c r="D7" s="83" t="n">
        <f aca="false">Assumptions!$C$80</f>
        <v>47.95</v>
      </c>
      <c r="E7" s="83" t="n">
        <f aca="false">Assumptions!$C$80</f>
        <v>47.95</v>
      </c>
      <c r="F7" s="83" t="n">
        <f aca="false">Assumptions!$C$80</f>
        <v>47.95</v>
      </c>
      <c r="G7" s="83" t="n">
        <f aca="false">Assumptions!$C$80</f>
        <v>47.95</v>
      </c>
      <c r="H7" s="83" t="n">
        <f aca="false">Assumptions!$C$80</f>
        <v>47.95</v>
      </c>
      <c r="I7" s="83" t="n">
        <f aca="false">Assumptions!$C$80</f>
        <v>47.95</v>
      </c>
      <c r="J7" s="83" t="n">
        <f aca="false">Assumptions!$C$80</f>
        <v>47.95</v>
      </c>
      <c r="K7" s="83" t="n">
        <f aca="false">Assumptions!$C$80</f>
        <v>47.95</v>
      </c>
      <c r="L7" s="83" t="n">
        <f aca="false">Assumptions!$C$80</f>
        <v>47.95</v>
      </c>
    </row>
    <row r="8" customFormat="false" ht="15" hidden="false" customHeight="false" outlineLevel="0" collapsed="false">
      <c r="A8" s="7" t="s">
        <v>607</v>
      </c>
      <c r="B8" s="14" t="s">
        <v>162</v>
      </c>
      <c r="C8" s="81" t="n">
        <f aca="false">'Revenue Build'!C$43*C7/365</f>
        <v>395.859627941918</v>
      </c>
      <c r="D8" s="81" t="n">
        <f aca="false">'Revenue Build'!D$43*D7/365</f>
        <v>671.616008234932</v>
      </c>
      <c r="E8" s="81" t="n">
        <f aca="false">'Revenue Build'!E$43*E7/365</f>
        <v>946.503966960422</v>
      </c>
      <c r="F8" s="81" t="n">
        <f aca="false">'Revenue Build'!F$43*F7/365</f>
        <v>1166.59532241655</v>
      </c>
      <c r="G8" s="81" t="n">
        <f aca="false">'Revenue Build'!G$43*G7/365</f>
        <v>1371.43026412109</v>
      </c>
      <c r="H8" s="81" t="n">
        <f aca="false">'Revenue Build'!H$43*H7/365</f>
        <v>1526.78705687802</v>
      </c>
      <c r="I8" s="81" t="n">
        <f aca="false">'Revenue Build'!I$43*I7/365</f>
        <v>1655.620288131</v>
      </c>
      <c r="J8" s="81" t="n">
        <f aca="false">'Revenue Build'!J$43*J7/365</f>
        <v>1785.53052314568</v>
      </c>
      <c r="K8" s="81" t="n">
        <f aca="false">'Revenue Build'!K$43*K7/365</f>
        <v>1929.04146716255</v>
      </c>
      <c r="L8" s="81" t="n">
        <f aca="false">'Revenue Build'!L$43*L7/365</f>
        <v>2079.69220625597</v>
      </c>
    </row>
    <row r="9" customFormat="false" ht="15" hidden="false" customHeight="false" outlineLevel="0" collapsed="false">
      <c r="A9" s="7" t="s">
        <v>608</v>
      </c>
      <c r="B9" s="14" t="s">
        <v>162</v>
      </c>
      <c r="C9" s="81" t="n">
        <f aca="false">'Operating Costs'!C$8*Assumptions!$C$81/365</f>
        <v>47.4701326520548</v>
      </c>
      <c r="D9" s="81" t="n">
        <f aca="false">'Operating Costs'!D$8*Assumptions!$C$81/365</f>
        <v>80.5378946267123</v>
      </c>
      <c r="E9" s="81" t="n">
        <f aca="false">'Operating Costs'!E$8*Assumptions!$C$81/365</f>
        <v>113.501518457193</v>
      </c>
      <c r="F9" s="81" t="n">
        <f aca="false">'Operating Costs'!F$8*Assumptions!$C$81/365</f>
        <v>139.894121040567</v>
      </c>
      <c r="G9" s="81" t="n">
        <f aca="false">'Operating Costs'!G$8*Assumptions!$C$81/365</f>
        <v>164.457226667284</v>
      </c>
      <c r="H9" s="81" t="n">
        <f aca="false">'Operating Costs'!H$8*Assumptions!$C$81/365</f>
        <v>183.087081898825</v>
      </c>
      <c r="I9" s="81" t="n">
        <f aca="false">'Operating Costs'!I$8*Assumptions!$C$81/365</f>
        <v>198.536322351475</v>
      </c>
      <c r="J9" s="81" t="n">
        <f aca="false">'Operating Costs'!J$8*Assumptions!$C$81/365</f>
        <v>214.114713411631</v>
      </c>
      <c r="K9" s="81" t="n">
        <f aca="false">'Operating Costs'!K$8*Assumptions!$C$81/365</f>
        <v>231.324054977782</v>
      </c>
      <c r="L9" s="81" t="n">
        <f aca="false">'Operating Costs'!L$8*Assumptions!$C$81/365</f>
        <v>249.389576349777</v>
      </c>
    </row>
    <row r="10" customFormat="false" ht="15" hidden="false" customHeight="false" outlineLevel="0" collapsed="false">
      <c r="A10" s="7" t="s">
        <v>609</v>
      </c>
      <c r="B10" s="14" t="s">
        <v>162</v>
      </c>
      <c r="C10" s="81" t="n">
        <f aca="false">'Revenue Build'!C$43*Assumptions!$C$83/365</f>
        <v>99.0681029260274</v>
      </c>
      <c r="D10" s="81" t="n">
        <f aca="false">'Revenue Build'!D$43*Assumptions!$C$83/365</f>
        <v>168.079084438356</v>
      </c>
      <c r="E10" s="81" t="n">
        <f aca="false">'Revenue Build'!E$43*Assumptions!$C$83/365</f>
        <v>236.872734171534</v>
      </c>
      <c r="F10" s="81" t="n">
        <f aca="false">'Revenue Build'!F$43*Assumptions!$C$83/365</f>
        <v>291.952948258575</v>
      </c>
      <c r="G10" s="81" t="n">
        <f aca="false">'Revenue Build'!G$43*Assumptions!$C$83/365</f>
        <v>343.215081740418</v>
      </c>
      <c r="H10" s="81" t="n">
        <f aca="false">'Revenue Build'!H$43*Assumptions!$C$83/365</f>
        <v>382.094779614938</v>
      </c>
      <c r="I10" s="81" t="n">
        <f aca="false">'Revenue Build'!I$43*Assumptions!$C$83/365</f>
        <v>414.336672733514</v>
      </c>
      <c r="J10" s="81" t="n">
        <f aca="false">'Revenue Build'!J$43*Assumptions!$C$83/365</f>
        <v>446.848097554707</v>
      </c>
      <c r="K10" s="81" t="n">
        <f aca="false">'Revenue Build'!K$43*Assumptions!$C$83/365</f>
        <v>482.763245171024</v>
      </c>
      <c r="L10" s="81" t="n">
        <f aca="false">'Revenue Build'!L$43*Assumptions!$C$83/365</f>
        <v>520.465202816926</v>
      </c>
    </row>
    <row r="11" customFormat="false" ht="15" hidden="false" customHeight="false" outlineLevel="0" collapsed="false">
      <c r="A11" s="35" t="s">
        <v>610</v>
      </c>
      <c r="B11" s="80" t="s">
        <v>162</v>
      </c>
      <c r="C11" s="67" t="n">
        <f aca="false">C8+C9+C10</f>
        <v>542.39786352</v>
      </c>
      <c r="D11" s="67" t="n">
        <f aca="false">D8+D9+D10</f>
        <v>920.2329873</v>
      </c>
      <c r="E11" s="67" t="n">
        <f aca="false">E8+E9+E10</f>
        <v>1296.87821958915</v>
      </c>
      <c r="F11" s="67" t="n">
        <f aca="false">F8+F9+F10</f>
        <v>1598.4423917157</v>
      </c>
      <c r="G11" s="67" t="n">
        <f aca="false">G8+G9+G10</f>
        <v>1879.10257252879</v>
      </c>
      <c r="H11" s="67" t="n">
        <f aca="false">H8+H9+H10</f>
        <v>2091.96891839179</v>
      </c>
      <c r="I11" s="67" t="n">
        <f aca="false">I8+I9+I10</f>
        <v>2268.49328321599</v>
      </c>
      <c r="J11" s="67" t="n">
        <f aca="false">J8+J9+J10</f>
        <v>2446.49333411202</v>
      </c>
      <c r="K11" s="67" t="n">
        <f aca="false">K8+K9+K10</f>
        <v>2643.12876731136</v>
      </c>
      <c r="L11" s="67" t="n">
        <f aca="false">L8+L9+L10</f>
        <v>2849.54698542267</v>
      </c>
    </row>
    <row r="13" customFormat="false" ht="15" hidden="false" customHeight="false" outlineLevel="0" collapsed="false">
      <c r="A13" s="8" t="s">
        <v>611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customFormat="false" ht="15" hidden="false" customHeight="false" outlineLevel="0" collapsed="false">
      <c r="A14" s="7" t="s">
        <v>612</v>
      </c>
      <c r="B14" s="14" t="s">
        <v>162</v>
      </c>
      <c r="C14" s="81" t="n">
        <f aca="false">('Operating Costs'!C$8+'Operating Costs'!C$14)*Assumptions!$C$82/365</f>
        <v>108.254457951781</v>
      </c>
      <c r="D14" s="81" t="n">
        <f aca="false">('Operating Costs'!D$8+'Operating Costs'!D$14)*Assumptions!$C$82/365</f>
        <v>171.475059643151</v>
      </c>
      <c r="E14" s="81" t="n">
        <f aca="false">('Operating Costs'!E$8+'Operating Costs'!E$14)*Assumptions!$C$82/365</f>
        <v>236.973966099661</v>
      </c>
      <c r="F14" s="81" t="n">
        <f aca="false">('Operating Costs'!F$8+'Operating Costs'!F$14)*Assumptions!$C$82/365</f>
        <v>288.795719242884</v>
      </c>
      <c r="G14" s="81" t="n">
        <f aca="false">('Operating Costs'!G$8+'Operating Costs'!G$14)*Assumptions!$C$82/365</f>
        <v>347.803829918919</v>
      </c>
      <c r="H14" s="81" t="n">
        <f aca="false">('Operating Costs'!H$8+'Operating Costs'!H$14)*Assumptions!$C$82/365</f>
        <v>384.419761116514</v>
      </c>
      <c r="I14" s="81" t="n">
        <f aca="false">('Operating Costs'!I$8+'Operating Costs'!I$14)*Assumptions!$C$82/365</f>
        <v>415.310585712108</v>
      </c>
      <c r="J14" s="81" t="n">
        <f aca="false">('Operating Costs'!J$8+'Operating Costs'!J$14)*Assumptions!$C$82/365</f>
        <v>446.433881401209</v>
      </c>
      <c r="K14" s="81" t="n">
        <f aca="false">('Operating Costs'!K$8+'Operating Costs'!K$14)*Assumptions!$C$82/365</f>
        <v>480.492888001104</v>
      </c>
      <c r="L14" s="81" t="n">
        <f aca="false">('Operating Costs'!L$8+'Operating Costs'!L$14)*Assumptions!$C$82/365</f>
        <v>516.093018251517</v>
      </c>
    </row>
    <row r="15" customFormat="false" ht="15" hidden="false" customHeight="false" outlineLevel="0" collapsed="false">
      <c r="A15" s="7" t="s">
        <v>613</v>
      </c>
      <c r="B15" s="14" t="s">
        <v>162</v>
      </c>
      <c r="C15" s="81" t="n">
        <f aca="false">'Revenue Build'!C$43*Assumptions!$C$84/365</f>
        <v>148.602154389041</v>
      </c>
      <c r="D15" s="81" t="n">
        <f aca="false">'Revenue Build'!D$43*Assumptions!$C$84/365</f>
        <v>252.118626657534</v>
      </c>
      <c r="E15" s="81" t="n">
        <f aca="false">'Revenue Build'!E$43*Assumptions!$C$84/365</f>
        <v>355.309101257301</v>
      </c>
      <c r="F15" s="81" t="n">
        <f aca="false">'Revenue Build'!F$43*Assumptions!$C$84/365</f>
        <v>437.929422387862</v>
      </c>
      <c r="G15" s="81" t="n">
        <f aca="false">'Revenue Build'!G$43*Assumptions!$C$84/365</f>
        <v>514.822622610627</v>
      </c>
      <c r="H15" s="81" t="n">
        <f aca="false">'Revenue Build'!H$43*Assumptions!$C$84/365</f>
        <v>573.142169422407</v>
      </c>
      <c r="I15" s="81" t="n">
        <f aca="false">'Revenue Build'!I$43*Assumptions!$C$84/365</f>
        <v>621.50500910027</v>
      </c>
      <c r="J15" s="81" t="n">
        <f aca="false">'Revenue Build'!J$43*Assumptions!$C$84/365</f>
        <v>670.272146332061</v>
      </c>
      <c r="K15" s="81" t="n">
        <f aca="false">'Revenue Build'!K$43*Assumptions!$C$84/365</f>
        <v>724.144867756536</v>
      </c>
      <c r="L15" s="81" t="n">
        <f aca="false">'Revenue Build'!L$43*Assumptions!$C$84/365</f>
        <v>780.69780422539</v>
      </c>
    </row>
    <row r="16" customFormat="false" ht="15" hidden="false" customHeight="false" outlineLevel="0" collapsed="false">
      <c r="A16" s="35" t="s">
        <v>614</v>
      </c>
      <c r="B16" s="80" t="s">
        <v>162</v>
      </c>
      <c r="C16" s="67" t="n">
        <f aca="false">C14+C15</f>
        <v>256.856612340822</v>
      </c>
      <c r="D16" s="67" t="n">
        <f aca="false">D14+D15</f>
        <v>423.593686300685</v>
      </c>
      <c r="E16" s="67" t="n">
        <f aca="false">E14+E15</f>
        <v>592.283067356962</v>
      </c>
      <c r="F16" s="67" t="n">
        <f aca="false">F14+F15</f>
        <v>726.725141630745</v>
      </c>
      <c r="G16" s="67" t="n">
        <f aca="false">G14+G15</f>
        <v>862.626452529545</v>
      </c>
      <c r="H16" s="67" t="n">
        <f aca="false">H14+H15</f>
        <v>957.561930538922</v>
      </c>
      <c r="I16" s="67" t="n">
        <f aca="false">I14+I15</f>
        <v>1036.81559481238</v>
      </c>
      <c r="J16" s="67" t="n">
        <f aca="false">J14+J15</f>
        <v>1116.70602773327</v>
      </c>
      <c r="K16" s="67" t="n">
        <f aca="false">K14+K15</f>
        <v>1204.63775575764</v>
      </c>
      <c r="L16" s="67" t="n">
        <f aca="false">L14+L15</f>
        <v>1296.79082247691</v>
      </c>
    </row>
    <row r="18" customFormat="false" ht="15" hidden="false" customHeight="false" outlineLevel="0" collapsed="false">
      <c r="A18" s="19" t="s">
        <v>615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</row>
    <row r="19" customFormat="false" ht="15" hidden="false" customHeight="false" outlineLevel="0" collapsed="false">
      <c r="A19" s="35" t="s">
        <v>616</v>
      </c>
      <c r="B19" s="80" t="s">
        <v>162</v>
      </c>
      <c r="C19" s="67" t="n">
        <f aca="false">C11-C16</f>
        <v>285.541251179178</v>
      </c>
      <c r="D19" s="67" t="n">
        <f aca="false">D11-D16</f>
        <v>496.639300999315</v>
      </c>
      <c r="E19" s="67" t="n">
        <f aca="false">E11-E16</f>
        <v>704.595152232188</v>
      </c>
      <c r="F19" s="67" t="n">
        <f aca="false">F11-F16</f>
        <v>871.71725008495</v>
      </c>
      <c r="G19" s="67" t="n">
        <f aca="false">G11-G16</f>
        <v>1016.47611999924</v>
      </c>
      <c r="H19" s="67" t="n">
        <f aca="false">H11-H16</f>
        <v>1134.40698785287</v>
      </c>
      <c r="I19" s="67" t="n">
        <f aca="false">I11-I16</f>
        <v>1231.67768840361</v>
      </c>
      <c r="J19" s="67" t="n">
        <f aca="false">J11-J16</f>
        <v>1329.78730637875</v>
      </c>
      <c r="K19" s="67" t="n">
        <f aca="false">K11-K16</f>
        <v>1438.49101155372</v>
      </c>
      <c r="L19" s="67" t="n">
        <f aca="false">L11-L16</f>
        <v>1552.75616294577</v>
      </c>
    </row>
    <row r="20" customFormat="false" ht="15" hidden="false" customHeight="false" outlineLevel="0" collapsed="false">
      <c r="A20" s="7" t="s">
        <v>617</v>
      </c>
      <c r="B20" s="14" t="s">
        <v>162</v>
      </c>
      <c r="C20" s="81" t="n">
        <f aca="false">C19</f>
        <v>285.541251179178</v>
      </c>
      <c r="D20" s="81" t="n">
        <f aca="false">D19-C19</f>
        <v>211.098049820137</v>
      </c>
      <c r="E20" s="81" t="n">
        <f aca="false">E19-D19</f>
        <v>207.955851232873</v>
      </c>
      <c r="F20" s="81" t="n">
        <f aca="false">F19-E19</f>
        <v>167.122097852762</v>
      </c>
      <c r="G20" s="81" t="n">
        <f aca="false">G19-F19</f>
        <v>144.758869914292</v>
      </c>
      <c r="H20" s="81" t="n">
        <f aca="false">H19-G19</f>
        <v>117.930867853623</v>
      </c>
      <c r="I20" s="81" t="n">
        <f aca="false">I19-H19</f>
        <v>97.2707005507439</v>
      </c>
      <c r="J20" s="81" t="n">
        <f aca="false">J19-I19</f>
        <v>98.1096179751437</v>
      </c>
      <c r="K20" s="81" t="n">
        <f aca="false">K19-J19</f>
        <v>108.703705174963</v>
      </c>
      <c r="L20" s="81" t="n">
        <f aca="false">L19-K19</f>
        <v>114.26515139205</v>
      </c>
      <c r="N20" s="14" t="s">
        <v>618</v>
      </c>
    </row>
    <row r="21" customFormat="false" ht="15" hidden="false" customHeight="false" outlineLevel="0" collapsed="false">
      <c r="A21" s="7" t="s">
        <v>619</v>
      </c>
      <c r="B21" s="14" t="s">
        <v>237</v>
      </c>
      <c r="C21" s="86" t="n">
        <f aca="false">C19/'Revenue Build'!C$43*365</f>
        <v>34.5872678788313</v>
      </c>
      <c r="D21" s="86" t="n">
        <f aca="false">D19/'Revenue Build'!D$43*365</f>
        <v>35.4575444761988</v>
      </c>
      <c r="E21" s="86" t="n">
        <f aca="false">E19/'Revenue Build'!E$43*365</f>
        <v>35.6948715788596</v>
      </c>
      <c r="F21" s="86" t="n">
        <f aca="false">F19/'Revenue Build'!F$43*365</f>
        <v>35.8297700482707</v>
      </c>
      <c r="G21" s="86" t="n">
        <f aca="false">G19/'Revenue Build'!G$43*365</f>
        <v>35.5395613098854</v>
      </c>
      <c r="H21" s="86" t="n">
        <f aca="false">H19/'Revenue Build'!H$43*365</f>
        <v>35.6269820486764</v>
      </c>
      <c r="I21" s="86" t="n">
        <f aca="false">I19/'Revenue Build'!I$43*365</f>
        <v>35.6717935763059</v>
      </c>
      <c r="J21" s="86" t="n">
        <f aca="false">J19/'Revenue Build'!J$43*365</f>
        <v>35.7111236768584</v>
      </c>
      <c r="K21" s="86" t="n">
        <f aca="false">K19/'Revenue Build'!K$43*365</f>
        <v>35.7564340519117</v>
      </c>
      <c r="L21" s="86" t="n">
        <f aca="false">L19/'Revenue Build'!L$43*365</f>
        <v>35.8008063834065</v>
      </c>
    </row>
    <row r="22" customFormat="false" ht="15" hidden="false" customHeight="false" outlineLevel="0" collapsed="false">
      <c r="A22" s="6" t="s">
        <v>620</v>
      </c>
      <c r="B22" s="14" t="s">
        <v>237</v>
      </c>
      <c r="C22" s="91" t="n">
        <f aca="false">C7+Assumptions!$C$81-Assumptions!$C$82</f>
        <v>27.95</v>
      </c>
      <c r="D22" s="91" t="n">
        <f aca="false">D7+Assumptions!$C$81-Assumptions!$C$82</f>
        <v>27.95</v>
      </c>
      <c r="E22" s="91" t="n">
        <f aca="false">E7+Assumptions!$C$81-Assumptions!$C$82</f>
        <v>27.95</v>
      </c>
      <c r="F22" s="91" t="n">
        <f aca="false">F7+Assumptions!$C$81-Assumptions!$C$82</f>
        <v>27.95</v>
      </c>
      <c r="G22" s="91" t="n">
        <f aca="false">G7+Assumptions!$C$81-Assumptions!$C$82</f>
        <v>27.95</v>
      </c>
      <c r="H22" s="91" t="n">
        <f aca="false">H7+Assumptions!$C$81-Assumptions!$C$82</f>
        <v>27.95</v>
      </c>
      <c r="I22" s="91" t="n">
        <f aca="false">I7+Assumptions!$C$81-Assumptions!$C$82</f>
        <v>27.95</v>
      </c>
      <c r="J22" s="91" t="n">
        <f aca="false">J7+Assumptions!$C$81-Assumptions!$C$82</f>
        <v>27.95</v>
      </c>
      <c r="K22" s="91" t="n">
        <f aca="false">K7+Assumptions!$C$81-Assumptions!$C$82</f>
        <v>27.95</v>
      </c>
      <c r="L22" s="91" t="n">
        <f aca="false">L7+Assumptions!$C$81-Assumptions!$C$82</f>
        <v>27.95</v>
      </c>
      <c r="N22" s="14" t="s">
        <v>621</v>
      </c>
    </row>
    <row r="24" customFormat="false" ht="15" hidden="false" customHeight="false" outlineLevel="0" collapsed="false">
      <c r="A24" s="14" t="s">
        <v>622</v>
      </c>
    </row>
    <row r="25" customFormat="false" ht="15" hidden="false" customHeight="false" outlineLevel="0" collapsed="false">
      <c r="A25" s="14" t="s">
        <v>623</v>
      </c>
    </row>
    <row r="26" customFormat="false" ht="15" hidden="false" customHeight="false" outlineLevel="0" collapsed="false">
      <c r="A26" s="14" t="s">
        <v>624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O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8" min="3" style="0" width="16"/>
    <col collapsed="false" customWidth="true" hidden="false" outlineLevel="0" max="9" min="9" style="0" width="18"/>
    <col collapsed="false" customWidth="true" hidden="false" outlineLevel="0" max="16" min="10" style="0" width="13"/>
  </cols>
  <sheetData>
    <row r="1" customFormat="false" ht="24" hidden="false" customHeight="true" outlineLevel="0" collapsed="false">
      <c r="A1" s="15" t="s">
        <v>625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" hidden="false" customHeight="false" outlineLevel="0" collapsed="false">
      <c r="A2" s="16" t="s">
        <v>626</v>
      </c>
    </row>
    <row r="5" customFormat="false" ht="15" hidden="false" customHeight="false" outlineLevel="0" collapsed="false">
      <c r="A5" s="6" t="s">
        <v>627</v>
      </c>
      <c r="C5" s="42" t="n">
        <f aca="false">'Capex &amp; Funding'!$C$32</f>
        <v>7754.25572682439</v>
      </c>
      <c r="E5" s="14" t="s">
        <v>628</v>
      </c>
    </row>
    <row r="6" customFormat="false" ht="15" hidden="false" customHeight="false" outlineLevel="0" collapsed="false">
      <c r="A6" s="6" t="s">
        <v>629</v>
      </c>
      <c r="C6" s="62" t="n">
        <f aca="false">Assumptions!$C$106</f>
        <v>0.1075</v>
      </c>
      <c r="E6" s="14" t="s">
        <v>630</v>
      </c>
    </row>
    <row r="7" customFormat="false" ht="15" hidden="false" customHeight="false" outlineLevel="0" collapsed="false">
      <c r="A7" s="6" t="s">
        <v>631</v>
      </c>
      <c r="C7" s="92" t="n">
        <f aca="false">$C$6/4</f>
        <v>0.026875</v>
      </c>
      <c r="E7" s="14" t="s">
        <v>632</v>
      </c>
    </row>
    <row r="9" customFormat="false" ht="27.75" hidden="false" customHeight="true" outlineLevel="0" collapsed="false">
      <c r="A9" s="21" t="s">
        <v>633</v>
      </c>
      <c r="B9" s="21" t="s">
        <v>634</v>
      </c>
      <c r="C9" s="21" t="s">
        <v>635</v>
      </c>
      <c r="D9" s="21" t="s">
        <v>636</v>
      </c>
      <c r="E9" s="21" t="s">
        <v>637</v>
      </c>
      <c r="F9" s="21" t="s">
        <v>638</v>
      </c>
      <c r="G9" s="21" t="s">
        <v>639</v>
      </c>
      <c r="H9" s="21" t="s">
        <v>640</v>
      </c>
      <c r="I9" s="21" t="s">
        <v>641</v>
      </c>
    </row>
    <row r="10" customFormat="false" ht="15" hidden="false" customHeight="false" outlineLevel="0" collapsed="false">
      <c r="A10" s="93" t="s">
        <v>642</v>
      </c>
      <c r="B10" s="94" t="s">
        <v>643</v>
      </c>
      <c r="C10" s="81" t="n">
        <f aca="false">0</f>
        <v>0</v>
      </c>
      <c r="D10" s="81" t="n">
        <f aca="false">$C$5*0.06</f>
        <v>465.255343609463</v>
      </c>
      <c r="E10" s="81" t="n">
        <f aca="false">0</f>
        <v>0</v>
      </c>
      <c r="F10" s="81" t="n">
        <f aca="false">(C10+D10/2-E10/2)*$C$7</f>
        <v>6.25186867975216</v>
      </c>
      <c r="G10" s="85" t="n">
        <f aca="false">E10+F10</f>
        <v>6.25186867975216</v>
      </c>
      <c r="H10" s="85" t="n">
        <f aca="false">C10+D10-E10</f>
        <v>465.255343609463</v>
      </c>
      <c r="I10" s="81" t="n">
        <f aca="false">E10</f>
        <v>0</v>
      </c>
    </row>
    <row r="11" customFormat="false" ht="15" hidden="false" customHeight="false" outlineLevel="0" collapsed="false">
      <c r="A11" s="93" t="s">
        <v>644</v>
      </c>
      <c r="B11" s="94" t="s">
        <v>643</v>
      </c>
      <c r="C11" s="81" t="n">
        <f aca="false">H10</f>
        <v>465.255343609463</v>
      </c>
      <c r="D11" s="81" t="n">
        <f aca="false">$C$5*0.12</f>
        <v>930.510687218926</v>
      </c>
      <c r="E11" s="81" t="n">
        <f aca="false">0</f>
        <v>0</v>
      </c>
      <c r="F11" s="81" t="n">
        <f aca="false">(C11+D11/2-E11/2)*$C$7</f>
        <v>25.0074747190086</v>
      </c>
      <c r="G11" s="85" t="n">
        <f aca="false">E11+F11</f>
        <v>25.0074747190086</v>
      </c>
      <c r="H11" s="85" t="n">
        <f aca="false">C11+D11-E11</f>
        <v>1395.76603082839</v>
      </c>
      <c r="I11" s="81" t="n">
        <f aca="false">I10+E11</f>
        <v>0</v>
      </c>
    </row>
    <row r="12" customFormat="false" ht="15" hidden="false" customHeight="false" outlineLevel="0" collapsed="false">
      <c r="A12" s="93" t="s">
        <v>645</v>
      </c>
      <c r="B12" s="94" t="s">
        <v>643</v>
      </c>
      <c r="C12" s="81" t="n">
        <f aca="false">H11</f>
        <v>1395.76603082839</v>
      </c>
      <c r="D12" s="81" t="n">
        <f aca="false">$C$5*0.2</f>
        <v>1550.85114536488</v>
      </c>
      <c r="E12" s="81" t="n">
        <f aca="false">0</f>
        <v>0</v>
      </c>
      <c r="F12" s="81" t="n">
        <f aca="false">(C12+D12/2-E12/2)*$C$7</f>
        <v>58.3507743443535</v>
      </c>
      <c r="G12" s="85" t="n">
        <f aca="false">E12+F12</f>
        <v>58.3507743443535</v>
      </c>
      <c r="H12" s="85" t="n">
        <f aca="false">C12+D12-E12</f>
        <v>2946.61717619327</v>
      </c>
      <c r="I12" s="81" t="n">
        <f aca="false">I11+E12</f>
        <v>0</v>
      </c>
    </row>
    <row r="13" customFormat="false" ht="15" hidden="false" customHeight="false" outlineLevel="0" collapsed="false">
      <c r="A13" s="93" t="s">
        <v>646</v>
      </c>
      <c r="B13" s="94" t="s">
        <v>643</v>
      </c>
      <c r="C13" s="81" t="n">
        <f aca="false">H12</f>
        <v>2946.61717619327</v>
      </c>
      <c r="D13" s="81" t="n">
        <f aca="false">$C$5*0.24</f>
        <v>1861.02137443785</v>
      </c>
      <c r="E13" s="81" t="n">
        <f aca="false">0</f>
        <v>0</v>
      </c>
      <c r="F13" s="81" t="n">
        <f aca="false">(C13+D13/2-E13/2)*$C$7</f>
        <v>104.197811329203</v>
      </c>
      <c r="G13" s="85" t="n">
        <f aca="false">E13+F13</f>
        <v>104.197811329203</v>
      </c>
      <c r="H13" s="85" t="n">
        <f aca="false">C13+D13-E13</f>
        <v>4807.63855063112</v>
      </c>
      <c r="I13" s="81" t="n">
        <f aca="false">I12+E13</f>
        <v>0</v>
      </c>
    </row>
    <row r="14" customFormat="false" ht="15" hidden="false" customHeight="false" outlineLevel="0" collapsed="false">
      <c r="A14" s="93" t="s">
        <v>647</v>
      </c>
      <c r="B14" s="94" t="s">
        <v>643</v>
      </c>
      <c r="C14" s="81" t="n">
        <f aca="false">H13</f>
        <v>4807.63855063112</v>
      </c>
      <c r="D14" s="81" t="n">
        <f aca="false">$C$5*0.22</f>
        <v>1705.93625990136</v>
      </c>
      <c r="E14" s="81" t="n">
        <f aca="false">0</f>
        <v>0</v>
      </c>
      <c r="F14" s="81" t="n">
        <f aca="false">(C14+D14/2-E14/2)*$C$7</f>
        <v>152.128804540636</v>
      </c>
      <c r="G14" s="85" t="n">
        <f aca="false">E14+F14</f>
        <v>152.128804540636</v>
      </c>
      <c r="H14" s="85" t="n">
        <f aca="false">C14+D14-E14</f>
        <v>6513.57481053248</v>
      </c>
      <c r="I14" s="81" t="n">
        <f aca="false">I13+E14</f>
        <v>0</v>
      </c>
    </row>
    <row r="15" customFormat="false" ht="15" hidden="false" customHeight="false" outlineLevel="0" collapsed="false">
      <c r="A15" s="93" t="s">
        <v>648</v>
      </c>
      <c r="B15" s="94" t="s">
        <v>643</v>
      </c>
      <c r="C15" s="81" t="n">
        <f aca="false">H14</f>
        <v>6513.57481053248</v>
      </c>
      <c r="D15" s="81" t="n">
        <f aca="false">$C$5*0.16</f>
        <v>1240.6809162919</v>
      </c>
      <c r="E15" s="81" t="n">
        <f aca="false">0</f>
        <v>0</v>
      </c>
      <c r="F15" s="81" t="n">
        <f aca="false">(C15+D15/2-E15/2)*$C$7</f>
        <v>191.723972845733</v>
      </c>
      <c r="G15" s="85" t="n">
        <f aca="false">E15+F15</f>
        <v>191.723972845733</v>
      </c>
      <c r="H15" s="85" t="n">
        <f aca="false">C15+D15-E15</f>
        <v>7754.25572682439</v>
      </c>
      <c r="I15" s="81" t="n">
        <f aca="false">I14+E15</f>
        <v>0</v>
      </c>
    </row>
    <row r="16" customFormat="false" ht="15" hidden="false" customHeight="false" outlineLevel="0" collapsed="false">
      <c r="A16" s="93" t="s">
        <v>649</v>
      </c>
      <c r="B16" s="94" t="s">
        <v>650</v>
      </c>
      <c r="C16" s="81" t="n">
        <f aca="false">H15</f>
        <v>7754.25572682439</v>
      </c>
      <c r="D16" s="81" t="n">
        <f aca="false">0</f>
        <v>0</v>
      </c>
      <c r="E16" s="81" t="n">
        <f aca="false">0</f>
        <v>0</v>
      </c>
      <c r="F16" s="81" t="n">
        <f aca="false">(C16+D16/2-E16/2)*$C$7</f>
        <v>208.395622658405</v>
      </c>
      <c r="G16" s="85" t="n">
        <f aca="false">E16+F16</f>
        <v>208.395622658405</v>
      </c>
      <c r="H16" s="85" t="n">
        <f aca="false">C16+D16-E16</f>
        <v>7754.25572682439</v>
      </c>
      <c r="I16" s="81" t="n">
        <f aca="false">I15+E16</f>
        <v>0</v>
      </c>
    </row>
    <row r="17" customFormat="false" ht="15" hidden="false" customHeight="false" outlineLevel="0" collapsed="false">
      <c r="A17" s="93" t="s">
        <v>651</v>
      </c>
      <c r="B17" s="94" t="s">
        <v>650</v>
      </c>
      <c r="C17" s="81" t="n">
        <f aca="false">H16</f>
        <v>7754.25572682439</v>
      </c>
      <c r="D17" s="81" t="n">
        <f aca="false">0</f>
        <v>0</v>
      </c>
      <c r="E17" s="81" t="n">
        <f aca="false">0</f>
        <v>0</v>
      </c>
      <c r="F17" s="81" t="n">
        <f aca="false">(C17+D17/2-E17/2)*$C$7</f>
        <v>208.395622658405</v>
      </c>
      <c r="G17" s="85" t="n">
        <f aca="false">E17+F17</f>
        <v>208.395622658405</v>
      </c>
      <c r="H17" s="85" t="n">
        <f aca="false">C17+D17-E17</f>
        <v>7754.25572682439</v>
      </c>
      <c r="I17" s="81" t="n">
        <f aca="false">I16+E17</f>
        <v>0</v>
      </c>
    </row>
    <row r="18" customFormat="false" ht="15" hidden="false" customHeight="false" outlineLevel="0" collapsed="false">
      <c r="A18" s="93" t="s">
        <v>652</v>
      </c>
      <c r="B18" s="94" t="s">
        <v>650</v>
      </c>
      <c r="C18" s="81" t="n">
        <f aca="false">H17</f>
        <v>7754.25572682439</v>
      </c>
      <c r="D18" s="81" t="n">
        <f aca="false">0</f>
        <v>0</v>
      </c>
      <c r="E18" s="81" t="n">
        <f aca="false">0</f>
        <v>0</v>
      </c>
      <c r="F18" s="81" t="n">
        <f aca="false">(C18+D18/2-E18/2)*$C$7</f>
        <v>208.395622658405</v>
      </c>
      <c r="G18" s="85" t="n">
        <f aca="false">E18+F18</f>
        <v>208.395622658405</v>
      </c>
      <c r="H18" s="85" t="n">
        <f aca="false">C18+D18-E18</f>
        <v>7754.25572682439</v>
      </c>
      <c r="I18" s="81" t="n">
        <f aca="false">I17+E18</f>
        <v>0</v>
      </c>
    </row>
    <row r="19" customFormat="false" ht="15" hidden="false" customHeight="false" outlineLevel="0" collapsed="false">
      <c r="A19" s="93" t="s">
        <v>653</v>
      </c>
      <c r="B19" s="94" t="s">
        <v>650</v>
      </c>
      <c r="C19" s="81" t="n">
        <f aca="false">H18</f>
        <v>7754.25572682439</v>
      </c>
      <c r="D19" s="81" t="n">
        <f aca="false">0</f>
        <v>0</v>
      </c>
      <c r="E19" s="81" t="n">
        <f aca="false">0</f>
        <v>0</v>
      </c>
      <c r="F19" s="81" t="n">
        <f aca="false">(C19+D19/2-E19/2)*$C$7</f>
        <v>208.395622658405</v>
      </c>
      <c r="G19" s="85" t="n">
        <f aca="false">E19+F19</f>
        <v>208.395622658405</v>
      </c>
      <c r="H19" s="85" t="n">
        <f aca="false">C19+D19-E19</f>
        <v>7754.25572682439</v>
      </c>
      <c r="I19" s="81" t="n">
        <f aca="false">I18+E19</f>
        <v>0</v>
      </c>
    </row>
    <row r="20" customFormat="false" ht="15" hidden="false" customHeight="false" outlineLevel="0" collapsed="false">
      <c r="A20" s="93" t="s">
        <v>654</v>
      </c>
      <c r="B20" s="94" t="s">
        <v>650</v>
      </c>
      <c r="C20" s="81" t="n">
        <f aca="false">H19</f>
        <v>7754.25572682439</v>
      </c>
      <c r="D20" s="81" t="n">
        <f aca="false">0</f>
        <v>0</v>
      </c>
      <c r="E20" s="81" t="n">
        <f aca="false">0</f>
        <v>0</v>
      </c>
      <c r="F20" s="81" t="n">
        <f aca="false">(C20+D20/2-E20/2)*$C$7</f>
        <v>208.395622658405</v>
      </c>
      <c r="G20" s="85" t="n">
        <f aca="false">E20+F20</f>
        <v>208.395622658405</v>
      </c>
      <c r="H20" s="85" t="n">
        <f aca="false">C20+D20-E20</f>
        <v>7754.25572682439</v>
      </c>
      <c r="I20" s="81" t="n">
        <f aca="false">I19+E20</f>
        <v>0</v>
      </c>
    </row>
    <row r="21" customFormat="false" ht="15" hidden="false" customHeight="false" outlineLevel="0" collapsed="false">
      <c r="A21" s="93" t="s">
        <v>655</v>
      </c>
      <c r="B21" s="94" t="s">
        <v>650</v>
      </c>
      <c r="C21" s="81" t="n">
        <f aca="false">H20</f>
        <v>7754.25572682439</v>
      </c>
      <c r="D21" s="81" t="n">
        <f aca="false">0</f>
        <v>0</v>
      </c>
      <c r="E21" s="81" t="n">
        <f aca="false">0</f>
        <v>0</v>
      </c>
      <c r="F21" s="81" t="n">
        <f aca="false">(C21+D21/2-E21/2)*$C$7</f>
        <v>208.395622658405</v>
      </c>
      <c r="G21" s="85" t="n">
        <f aca="false">E21+F21</f>
        <v>208.395622658405</v>
      </c>
      <c r="H21" s="85" t="n">
        <f aca="false">C21+D21-E21</f>
        <v>7754.25572682439</v>
      </c>
      <c r="I21" s="81" t="n">
        <f aca="false">I20+E21</f>
        <v>0</v>
      </c>
    </row>
    <row r="22" customFormat="false" ht="15" hidden="false" customHeight="false" outlineLevel="0" collapsed="false">
      <c r="A22" s="93" t="s">
        <v>656</v>
      </c>
      <c r="B22" s="94" t="s">
        <v>650</v>
      </c>
      <c r="C22" s="81" t="n">
        <f aca="false">H21</f>
        <v>7754.25572682439</v>
      </c>
      <c r="D22" s="81" t="n">
        <f aca="false">0</f>
        <v>0</v>
      </c>
      <c r="E22" s="81" t="n">
        <f aca="false">0</f>
        <v>0</v>
      </c>
      <c r="F22" s="81" t="n">
        <f aca="false">(C22+D22/2-E22/2)*$C$7</f>
        <v>208.395622658405</v>
      </c>
      <c r="G22" s="85" t="n">
        <f aca="false">E22+F22</f>
        <v>208.395622658405</v>
      </c>
      <c r="H22" s="85" t="n">
        <f aca="false">C22+D22-E22</f>
        <v>7754.25572682439</v>
      </c>
      <c r="I22" s="81" t="n">
        <f aca="false">I21+E22</f>
        <v>0</v>
      </c>
    </row>
    <row r="23" customFormat="false" ht="15" hidden="false" customHeight="false" outlineLevel="0" collapsed="false">
      <c r="A23" s="93" t="s">
        <v>657</v>
      </c>
      <c r="B23" s="94" t="s">
        <v>650</v>
      </c>
      <c r="C23" s="81" t="n">
        <f aca="false">H22</f>
        <v>7754.25572682439</v>
      </c>
      <c r="D23" s="81" t="n">
        <f aca="false">0</f>
        <v>0</v>
      </c>
      <c r="E23" s="81" t="n">
        <f aca="false">0</f>
        <v>0</v>
      </c>
      <c r="F23" s="81" t="n">
        <f aca="false">(C23+D23/2-E23/2)*$C$7</f>
        <v>208.395622658405</v>
      </c>
      <c r="G23" s="85" t="n">
        <f aca="false">E23+F23</f>
        <v>208.395622658405</v>
      </c>
      <c r="H23" s="85" t="n">
        <f aca="false">C23+D23-E23</f>
        <v>7754.25572682439</v>
      </c>
      <c r="I23" s="81" t="n">
        <f aca="false">I22+E23</f>
        <v>0</v>
      </c>
    </row>
    <row r="24" customFormat="false" ht="15" hidden="false" customHeight="false" outlineLevel="0" collapsed="false">
      <c r="A24" s="93" t="s">
        <v>658</v>
      </c>
      <c r="B24" s="94" t="s">
        <v>650</v>
      </c>
      <c r="C24" s="81" t="n">
        <f aca="false">H23</f>
        <v>7754.25572682439</v>
      </c>
      <c r="D24" s="81" t="n">
        <f aca="false">0</f>
        <v>0</v>
      </c>
      <c r="E24" s="81" t="n">
        <f aca="false">0</f>
        <v>0</v>
      </c>
      <c r="F24" s="81" t="n">
        <f aca="false">(C24+D24/2-E24/2)*$C$7</f>
        <v>208.395622658405</v>
      </c>
      <c r="G24" s="85" t="n">
        <f aca="false">E24+F24</f>
        <v>208.395622658405</v>
      </c>
      <c r="H24" s="85" t="n">
        <f aca="false">C24+D24-E24</f>
        <v>7754.25572682439</v>
      </c>
      <c r="I24" s="81" t="n">
        <f aca="false">I23+E24</f>
        <v>0</v>
      </c>
    </row>
    <row r="25" customFormat="false" ht="15" hidden="false" customHeight="false" outlineLevel="0" collapsed="false">
      <c r="A25" s="93" t="s">
        <v>659</v>
      </c>
      <c r="B25" s="94" t="s">
        <v>650</v>
      </c>
      <c r="C25" s="81" t="n">
        <f aca="false">H24</f>
        <v>7754.25572682439</v>
      </c>
      <c r="D25" s="81" t="n">
        <f aca="false">0</f>
        <v>0</v>
      </c>
      <c r="E25" s="81" t="n">
        <f aca="false">0</f>
        <v>0</v>
      </c>
      <c r="F25" s="81" t="n">
        <f aca="false">(C25+D25/2-E25/2)*$C$7</f>
        <v>208.395622658405</v>
      </c>
      <c r="G25" s="85" t="n">
        <f aca="false">E25+F25</f>
        <v>208.395622658405</v>
      </c>
      <c r="H25" s="85" t="n">
        <f aca="false">C25+D25-E25</f>
        <v>7754.25572682439</v>
      </c>
      <c r="I25" s="81" t="n">
        <f aca="false">I24+E25</f>
        <v>0</v>
      </c>
    </row>
    <row r="26" customFormat="false" ht="15" hidden="false" customHeight="false" outlineLevel="0" collapsed="false">
      <c r="A26" s="93" t="s">
        <v>660</v>
      </c>
      <c r="B26" s="94" t="s">
        <v>650</v>
      </c>
      <c r="C26" s="81" t="n">
        <f aca="false">H25</f>
        <v>7754.25572682439</v>
      </c>
      <c r="D26" s="81" t="n">
        <f aca="false">0</f>
        <v>0</v>
      </c>
      <c r="E26" s="81" t="n">
        <f aca="false">0</f>
        <v>0</v>
      </c>
      <c r="F26" s="81" t="n">
        <f aca="false">(C26+D26/2-E26/2)*$C$7</f>
        <v>208.395622658405</v>
      </c>
      <c r="G26" s="85" t="n">
        <f aca="false">E26+F26</f>
        <v>208.395622658405</v>
      </c>
      <c r="H26" s="85" t="n">
        <f aca="false">C26+D26-E26</f>
        <v>7754.25572682439</v>
      </c>
      <c r="I26" s="81" t="n">
        <f aca="false">I25+E26</f>
        <v>0</v>
      </c>
    </row>
    <row r="27" customFormat="false" ht="15" hidden="false" customHeight="false" outlineLevel="0" collapsed="false">
      <c r="A27" s="93" t="s">
        <v>661</v>
      </c>
      <c r="B27" s="94" t="s">
        <v>650</v>
      </c>
      <c r="C27" s="81" t="n">
        <f aca="false">H26</f>
        <v>7754.25572682439</v>
      </c>
      <c r="D27" s="81" t="n">
        <f aca="false">0</f>
        <v>0</v>
      </c>
      <c r="E27" s="81" t="n">
        <f aca="false">0</f>
        <v>0</v>
      </c>
      <c r="F27" s="81" t="n">
        <f aca="false">(C27+D27/2-E27/2)*$C$7</f>
        <v>208.395622658405</v>
      </c>
      <c r="G27" s="85" t="n">
        <f aca="false">E27+F27</f>
        <v>208.395622658405</v>
      </c>
      <c r="H27" s="85" t="n">
        <f aca="false">C27+D27-E27</f>
        <v>7754.25572682439</v>
      </c>
      <c r="I27" s="81" t="n">
        <f aca="false">I26+E27</f>
        <v>0</v>
      </c>
    </row>
    <row r="28" customFormat="false" ht="15" hidden="false" customHeight="false" outlineLevel="0" collapsed="false">
      <c r="A28" s="95" t="s">
        <v>662</v>
      </c>
      <c r="B28" s="96" t="s">
        <v>663</v>
      </c>
      <c r="C28" s="97" t="n">
        <f aca="false">H27</f>
        <v>7754.25572682439</v>
      </c>
      <c r="D28" s="97" t="n">
        <f aca="false">0</f>
        <v>0</v>
      </c>
      <c r="E28" s="97" t="n">
        <f aca="false">$C$5*0.015</f>
        <v>116.313835902366</v>
      </c>
      <c r="F28" s="97" t="n">
        <f aca="false">(C28+D28/2-E28/2)*$C$7</f>
        <v>206.832655488467</v>
      </c>
      <c r="G28" s="98" t="n">
        <f aca="false">E28+F28</f>
        <v>323.146491390833</v>
      </c>
      <c r="H28" s="98" t="n">
        <f aca="false">C28+D28-E28</f>
        <v>7637.94189092202</v>
      </c>
      <c r="I28" s="97" t="n">
        <f aca="false">I27+E28</f>
        <v>116.313835902366</v>
      </c>
    </row>
    <row r="29" customFormat="false" ht="15" hidden="false" customHeight="false" outlineLevel="0" collapsed="false">
      <c r="A29" s="95" t="s">
        <v>664</v>
      </c>
      <c r="B29" s="96" t="s">
        <v>663</v>
      </c>
      <c r="C29" s="97" t="n">
        <f aca="false">H28</f>
        <v>7637.94189092202</v>
      </c>
      <c r="D29" s="97" t="n">
        <f aca="false">0</f>
        <v>0</v>
      </c>
      <c r="E29" s="97" t="n">
        <f aca="false">$C$5*0.015</f>
        <v>116.313835902366</v>
      </c>
      <c r="F29" s="97" t="n">
        <f aca="false">(C29+D29/2-E29/2)*$C$7</f>
        <v>203.706721148591</v>
      </c>
      <c r="G29" s="98" t="n">
        <f aca="false">E29+F29</f>
        <v>320.020557050957</v>
      </c>
      <c r="H29" s="98" t="n">
        <f aca="false">C29+D29-E29</f>
        <v>7521.62805501965</v>
      </c>
      <c r="I29" s="97" t="n">
        <f aca="false">I28+E29</f>
        <v>232.627671804732</v>
      </c>
    </row>
    <row r="30" customFormat="false" ht="15" hidden="false" customHeight="false" outlineLevel="0" collapsed="false">
      <c r="A30" s="95" t="s">
        <v>665</v>
      </c>
      <c r="B30" s="96" t="s">
        <v>663</v>
      </c>
      <c r="C30" s="97" t="n">
        <f aca="false">H29</f>
        <v>7521.62805501965</v>
      </c>
      <c r="D30" s="97" t="n">
        <f aca="false">0</f>
        <v>0</v>
      </c>
      <c r="E30" s="97" t="n">
        <f aca="false">$C$5*0.015</f>
        <v>116.313835902366</v>
      </c>
      <c r="F30" s="97" t="n">
        <f aca="false">(C30+D30/2-E30/2)*$C$7</f>
        <v>200.580786808715</v>
      </c>
      <c r="G30" s="98" t="n">
        <f aca="false">E30+F30</f>
        <v>316.894622711081</v>
      </c>
      <c r="H30" s="98" t="n">
        <f aca="false">C30+D30-E30</f>
        <v>7405.31421911729</v>
      </c>
      <c r="I30" s="97" t="n">
        <f aca="false">I29+E30</f>
        <v>348.941507707097</v>
      </c>
    </row>
    <row r="31" customFormat="false" ht="15" hidden="false" customHeight="false" outlineLevel="0" collapsed="false">
      <c r="A31" s="95" t="s">
        <v>666</v>
      </c>
      <c r="B31" s="96" t="s">
        <v>663</v>
      </c>
      <c r="C31" s="97" t="n">
        <f aca="false">H30</f>
        <v>7405.31421911729</v>
      </c>
      <c r="D31" s="97" t="n">
        <f aca="false">0</f>
        <v>0</v>
      </c>
      <c r="E31" s="97" t="n">
        <f aca="false">$C$5*0.015</f>
        <v>116.313835902366</v>
      </c>
      <c r="F31" s="97" t="n">
        <f aca="false">(C31+D31/2-E31/2)*$C$7</f>
        <v>197.454852468839</v>
      </c>
      <c r="G31" s="98" t="n">
        <f aca="false">E31+F31</f>
        <v>313.768688371205</v>
      </c>
      <c r="H31" s="98" t="n">
        <f aca="false">C31+D31-E31</f>
        <v>7289.00038321492</v>
      </c>
      <c r="I31" s="97" t="n">
        <f aca="false">I30+E31</f>
        <v>465.255343609463</v>
      </c>
    </row>
    <row r="32" customFormat="false" ht="15" hidden="false" customHeight="false" outlineLevel="0" collapsed="false">
      <c r="A32" s="95" t="s">
        <v>667</v>
      </c>
      <c r="B32" s="96" t="s">
        <v>663</v>
      </c>
      <c r="C32" s="97" t="n">
        <f aca="false">H31</f>
        <v>7289.00038321492</v>
      </c>
      <c r="D32" s="97" t="n">
        <f aca="false">0</f>
        <v>0</v>
      </c>
      <c r="E32" s="97" t="n">
        <f aca="false">$C$5*0.025</f>
        <v>193.85639317061</v>
      </c>
      <c r="F32" s="97" t="n">
        <f aca="false">(C32+D32/2-E32/2)*$C$7</f>
        <v>193.286940015671</v>
      </c>
      <c r="G32" s="98" t="n">
        <f aca="false">E32+F32</f>
        <v>387.143333186281</v>
      </c>
      <c r="H32" s="98" t="n">
        <f aca="false">C32+D32-E32</f>
        <v>7095.14399004431</v>
      </c>
      <c r="I32" s="97" t="n">
        <f aca="false">I31+E32</f>
        <v>659.111736780073</v>
      </c>
    </row>
    <row r="33" customFormat="false" ht="15" hidden="false" customHeight="false" outlineLevel="0" collapsed="false">
      <c r="A33" s="95" t="s">
        <v>668</v>
      </c>
      <c r="B33" s="96" t="s">
        <v>663</v>
      </c>
      <c r="C33" s="97" t="n">
        <f aca="false">H32</f>
        <v>7095.14399004431</v>
      </c>
      <c r="D33" s="97" t="n">
        <f aca="false">0</f>
        <v>0</v>
      </c>
      <c r="E33" s="97" t="n">
        <f aca="false">$C$5*0.025</f>
        <v>193.85639317061</v>
      </c>
      <c r="F33" s="97" t="n">
        <f aca="false">(C33+D33/2-E33/2)*$C$7</f>
        <v>188.077049449211</v>
      </c>
      <c r="G33" s="98" t="n">
        <f aca="false">E33+F33</f>
        <v>381.93344261982</v>
      </c>
      <c r="H33" s="98" t="n">
        <f aca="false">C33+D33-E33</f>
        <v>6901.2875968737</v>
      </c>
      <c r="I33" s="97" t="n">
        <f aca="false">I32+E33</f>
        <v>852.968129950682</v>
      </c>
    </row>
    <row r="34" customFormat="false" ht="15" hidden="false" customHeight="false" outlineLevel="0" collapsed="false">
      <c r="A34" s="95" t="s">
        <v>669</v>
      </c>
      <c r="B34" s="96" t="s">
        <v>663</v>
      </c>
      <c r="C34" s="97" t="n">
        <f aca="false">H33</f>
        <v>6901.2875968737</v>
      </c>
      <c r="D34" s="97" t="n">
        <f aca="false">0</f>
        <v>0</v>
      </c>
      <c r="E34" s="97" t="n">
        <f aca="false">$C$5*0.025</f>
        <v>193.85639317061</v>
      </c>
      <c r="F34" s="97" t="n">
        <f aca="false">(C34+D34/2-E34/2)*$C$7</f>
        <v>182.867158882751</v>
      </c>
      <c r="G34" s="98" t="n">
        <f aca="false">E34+F34</f>
        <v>376.72355205336</v>
      </c>
      <c r="H34" s="98" t="n">
        <f aca="false">C34+D34-E34</f>
        <v>6707.43120370309</v>
      </c>
      <c r="I34" s="97" t="n">
        <f aca="false">I33+E34</f>
        <v>1046.82452312129</v>
      </c>
    </row>
    <row r="35" customFormat="false" ht="15" hidden="false" customHeight="false" outlineLevel="0" collapsed="false">
      <c r="A35" s="95" t="s">
        <v>670</v>
      </c>
      <c r="B35" s="96" t="s">
        <v>663</v>
      </c>
      <c r="C35" s="97" t="n">
        <f aca="false">H34</f>
        <v>6707.43120370309</v>
      </c>
      <c r="D35" s="97" t="n">
        <f aca="false">0</f>
        <v>0</v>
      </c>
      <c r="E35" s="97" t="n">
        <f aca="false">$C$5*0.025</f>
        <v>193.85639317061</v>
      </c>
      <c r="F35" s="97" t="n">
        <f aca="false">(C35+D35/2-E35/2)*$C$7</f>
        <v>177.657268316291</v>
      </c>
      <c r="G35" s="98" t="n">
        <f aca="false">E35+F35</f>
        <v>371.5136614869</v>
      </c>
      <c r="H35" s="98" t="n">
        <f aca="false">C35+D35-E35</f>
        <v>6513.57481053248</v>
      </c>
      <c r="I35" s="97" t="n">
        <f aca="false">I34+E35</f>
        <v>1240.6809162919</v>
      </c>
    </row>
    <row r="36" customFormat="false" ht="15" hidden="false" customHeight="false" outlineLevel="0" collapsed="false">
      <c r="A36" s="95" t="s">
        <v>671</v>
      </c>
      <c r="B36" s="96" t="s">
        <v>663</v>
      </c>
      <c r="C36" s="97" t="n">
        <f aca="false">H35</f>
        <v>6513.57481053248</v>
      </c>
      <c r="D36" s="97" t="n">
        <f aca="false">0</f>
        <v>0</v>
      </c>
      <c r="E36" s="97" t="n">
        <f aca="false">$C$5*0.0325</f>
        <v>252.013311121793</v>
      </c>
      <c r="F36" s="97" t="n">
        <f aca="false">(C36+D36/2-E36/2)*$C$7</f>
        <v>171.665894164861</v>
      </c>
      <c r="G36" s="98" t="n">
        <f aca="false">E36+F36</f>
        <v>423.679205286654</v>
      </c>
      <c r="H36" s="98" t="n">
        <f aca="false">C36+D36-E36</f>
        <v>6261.56149941069</v>
      </c>
      <c r="I36" s="97" t="n">
        <f aca="false">I35+E36</f>
        <v>1492.69422741369</v>
      </c>
    </row>
    <row r="37" customFormat="false" ht="15" hidden="false" customHeight="false" outlineLevel="0" collapsed="false">
      <c r="A37" s="95" t="s">
        <v>672</v>
      </c>
      <c r="B37" s="96" t="s">
        <v>663</v>
      </c>
      <c r="C37" s="97" t="n">
        <f aca="false">H36</f>
        <v>6261.56149941069</v>
      </c>
      <c r="D37" s="97" t="n">
        <f aca="false">0</f>
        <v>0</v>
      </c>
      <c r="E37" s="97" t="n">
        <f aca="false">$C$5*0.0325</f>
        <v>252.013311121793</v>
      </c>
      <c r="F37" s="97" t="n">
        <f aca="false">(C37+D37/2-E37/2)*$C$7</f>
        <v>164.893036428463</v>
      </c>
      <c r="G37" s="98" t="n">
        <f aca="false">E37+F37</f>
        <v>416.906347550256</v>
      </c>
      <c r="H37" s="98" t="n">
        <f aca="false">C37+D37-E37</f>
        <v>6009.5481882889</v>
      </c>
      <c r="I37" s="97" t="n">
        <f aca="false">I36+E37</f>
        <v>1744.70753853549</v>
      </c>
    </row>
    <row r="38" customFormat="false" ht="15" hidden="false" customHeight="false" outlineLevel="0" collapsed="false">
      <c r="A38" s="95" t="s">
        <v>673</v>
      </c>
      <c r="B38" s="96" t="s">
        <v>663</v>
      </c>
      <c r="C38" s="97" t="n">
        <f aca="false">H37</f>
        <v>6009.5481882889</v>
      </c>
      <c r="D38" s="97" t="n">
        <f aca="false">0</f>
        <v>0</v>
      </c>
      <c r="E38" s="97" t="n">
        <f aca="false">$C$5*0.0325</f>
        <v>252.013311121793</v>
      </c>
      <c r="F38" s="97" t="n">
        <f aca="false">(C38+D38/2-E38/2)*$C$7</f>
        <v>158.120178692065</v>
      </c>
      <c r="G38" s="98" t="n">
        <f aca="false">E38+F38</f>
        <v>410.133489813858</v>
      </c>
      <c r="H38" s="98" t="n">
        <f aca="false">C38+D38-E38</f>
        <v>5757.53487716711</v>
      </c>
      <c r="I38" s="97" t="n">
        <f aca="false">I37+E38</f>
        <v>1996.72084965728</v>
      </c>
    </row>
    <row r="39" customFormat="false" ht="15" hidden="false" customHeight="false" outlineLevel="0" collapsed="false">
      <c r="A39" s="95" t="s">
        <v>674</v>
      </c>
      <c r="B39" s="96" t="s">
        <v>663</v>
      </c>
      <c r="C39" s="97" t="n">
        <f aca="false">H38</f>
        <v>5757.53487716711</v>
      </c>
      <c r="D39" s="97" t="n">
        <f aca="false">0</f>
        <v>0</v>
      </c>
      <c r="E39" s="97" t="n">
        <f aca="false">$C$5*0.0325</f>
        <v>252.013311121793</v>
      </c>
      <c r="F39" s="97" t="n">
        <f aca="false">(C39+D39/2-E39/2)*$C$7</f>
        <v>151.347320955667</v>
      </c>
      <c r="G39" s="98" t="n">
        <f aca="false">E39+F39</f>
        <v>403.360632077459</v>
      </c>
      <c r="H39" s="98" t="n">
        <f aca="false">C39+D39-E39</f>
        <v>5505.52156604531</v>
      </c>
      <c r="I39" s="97" t="n">
        <f aca="false">I38+E39</f>
        <v>2248.73416077907</v>
      </c>
    </row>
    <row r="40" customFormat="false" ht="15" hidden="false" customHeight="false" outlineLevel="0" collapsed="false">
      <c r="A40" s="95" t="s">
        <v>675</v>
      </c>
      <c r="B40" s="96" t="s">
        <v>663</v>
      </c>
      <c r="C40" s="97" t="n">
        <f aca="false">H39</f>
        <v>5505.52156604531</v>
      </c>
      <c r="D40" s="97" t="n">
        <f aca="false">0</f>
        <v>0</v>
      </c>
      <c r="E40" s="97" t="n">
        <f aca="false">$C$5*0.0375</f>
        <v>290.784589755914</v>
      </c>
      <c r="F40" s="97" t="n">
        <f aca="false">(C40+D40/2-E40/2)*$C$7</f>
        <v>144.053474162623</v>
      </c>
      <c r="G40" s="98" t="n">
        <f aca="false">E40+F40</f>
        <v>434.838063918537</v>
      </c>
      <c r="H40" s="98" t="n">
        <f aca="false">C40+D40-E40</f>
        <v>5214.7369762894</v>
      </c>
      <c r="I40" s="97" t="n">
        <f aca="false">I39+E40</f>
        <v>2539.51875053499</v>
      </c>
    </row>
    <row r="41" customFormat="false" ht="15" hidden="false" customHeight="false" outlineLevel="0" collapsed="false">
      <c r="A41" s="95" t="s">
        <v>676</v>
      </c>
      <c r="B41" s="96" t="s">
        <v>663</v>
      </c>
      <c r="C41" s="97" t="n">
        <f aca="false">H40</f>
        <v>5214.7369762894</v>
      </c>
      <c r="D41" s="97" t="n">
        <f aca="false">0</f>
        <v>0</v>
      </c>
      <c r="E41" s="97" t="n">
        <f aca="false">$C$5*0.0375</f>
        <v>290.784589755914</v>
      </c>
      <c r="F41" s="97" t="n">
        <f aca="false">(C41+D41/2-E41/2)*$C$7</f>
        <v>136.238638312932</v>
      </c>
      <c r="G41" s="98" t="n">
        <f aca="false">E41+F41</f>
        <v>427.023228068847</v>
      </c>
      <c r="H41" s="98" t="n">
        <f aca="false">C41+D41-E41</f>
        <v>4923.95238653348</v>
      </c>
      <c r="I41" s="97" t="n">
        <f aca="false">I40+E41</f>
        <v>2830.3033402909</v>
      </c>
    </row>
    <row r="42" customFormat="false" ht="15" hidden="false" customHeight="false" outlineLevel="0" collapsed="false">
      <c r="A42" s="95" t="s">
        <v>677</v>
      </c>
      <c r="B42" s="96" t="s">
        <v>663</v>
      </c>
      <c r="C42" s="97" t="n">
        <f aca="false">H41</f>
        <v>4923.95238653348</v>
      </c>
      <c r="D42" s="97" t="n">
        <f aca="false">0</f>
        <v>0</v>
      </c>
      <c r="E42" s="97" t="n">
        <f aca="false">$C$5*0.0375</f>
        <v>290.784589755914</v>
      </c>
      <c r="F42" s="97" t="n">
        <f aca="false">(C42+D42/2-E42/2)*$C$7</f>
        <v>128.423802463242</v>
      </c>
      <c r="G42" s="98" t="n">
        <f aca="false">E42+F42</f>
        <v>419.208392219157</v>
      </c>
      <c r="H42" s="98" t="n">
        <f aca="false">C42+D42-E42</f>
        <v>4633.16779677757</v>
      </c>
      <c r="I42" s="97" t="n">
        <f aca="false">I41+E42</f>
        <v>3121.08793004682</v>
      </c>
    </row>
    <row r="43" customFormat="false" ht="15" hidden="false" customHeight="false" outlineLevel="0" collapsed="false">
      <c r="A43" s="95" t="s">
        <v>678</v>
      </c>
      <c r="B43" s="96" t="s">
        <v>663</v>
      </c>
      <c r="C43" s="97" t="n">
        <f aca="false">H42</f>
        <v>4633.16779677757</v>
      </c>
      <c r="D43" s="97" t="n">
        <f aca="false">0</f>
        <v>0</v>
      </c>
      <c r="E43" s="97" t="n">
        <f aca="false">$C$5*0.0375</f>
        <v>290.784589755914</v>
      </c>
      <c r="F43" s="97" t="n">
        <f aca="false">(C43+D43/2-E43/2)*$C$7</f>
        <v>120.608966613552</v>
      </c>
      <c r="G43" s="98" t="n">
        <f aca="false">E43+F43</f>
        <v>411.393556369467</v>
      </c>
      <c r="H43" s="98" t="n">
        <f aca="false">C43+D43-E43</f>
        <v>4342.38320702165</v>
      </c>
      <c r="I43" s="97" t="n">
        <f aca="false">I42+E43</f>
        <v>3411.87251980273</v>
      </c>
    </row>
    <row r="44" customFormat="false" ht="15" hidden="false" customHeight="false" outlineLevel="0" collapsed="false">
      <c r="A44" s="95" t="s">
        <v>679</v>
      </c>
      <c r="B44" s="96" t="s">
        <v>663</v>
      </c>
      <c r="C44" s="97" t="n">
        <f aca="false">H43</f>
        <v>4342.38320702165</v>
      </c>
      <c r="D44" s="97" t="n">
        <f aca="false">0</f>
        <v>0</v>
      </c>
      <c r="E44" s="97" t="n">
        <f aca="false">$C$5*0.0425</f>
        <v>329.555868390036</v>
      </c>
      <c r="F44" s="97" t="n">
        <f aca="false">(C44+D44/2-E44/2)*$C$7</f>
        <v>112.273141707216</v>
      </c>
      <c r="G44" s="98" t="n">
        <f aca="false">E44+F44</f>
        <v>441.829010097252</v>
      </c>
      <c r="H44" s="98" t="n">
        <f aca="false">C44+D44-E44</f>
        <v>4012.82733863162</v>
      </c>
      <c r="I44" s="97" t="n">
        <f aca="false">I43+E44</f>
        <v>3741.42838819277</v>
      </c>
    </row>
    <row r="45" customFormat="false" ht="15" hidden="false" customHeight="false" outlineLevel="0" collapsed="false">
      <c r="A45" s="95" t="s">
        <v>680</v>
      </c>
      <c r="B45" s="96" t="s">
        <v>663</v>
      </c>
      <c r="C45" s="97" t="n">
        <f aca="false">H44</f>
        <v>4012.82733863162</v>
      </c>
      <c r="D45" s="97" t="n">
        <f aca="false">0</f>
        <v>0</v>
      </c>
      <c r="E45" s="97" t="n">
        <f aca="false">$C$5*0.0425</f>
        <v>329.555868390036</v>
      </c>
      <c r="F45" s="97" t="n">
        <f aca="false">(C45+D45/2-E45/2)*$C$7</f>
        <v>103.416327744234</v>
      </c>
      <c r="G45" s="98" t="n">
        <f aca="false">E45+F45</f>
        <v>432.97219613427</v>
      </c>
      <c r="H45" s="98" t="n">
        <f aca="false">C45+D45-E45</f>
        <v>3683.27147024158</v>
      </c>
      <c r="I45" s="97" t="n">
        <f aca="false">I44+E45</f>
        <v>4070.9842565828</v>
      </c>
    </row>
    <row r="46" customFormat="false" ht="15" hidden="false" customHeight="false" outlineLevel="0" collapsed="false">
      <c r="A46" s="95" t="s">
        <v>681</v>
      </c>
      <c r="B46" s="96" t="s">
        <v>663</v>
      </c>
      <c r="C46" s="97" t="n">
        <f aca="false">H45</f>
        <v>3683.27147024158</v>
      </c>
      <c r="D46" s="97" t="n">
        <f aca="false">0</f>
        <v>0</v>
      </c>
      <c r="E46" s="97" t="n">
        <f aca="false">$C$5*0.0425</f>
        <v>329.555868390036</v>
      </c>
      <c r="F46" s="97" t="n">
        <f aca="false">(C46+D46/2-E46/2)*$C$7</f>
        <v>94.5595137812514</v>
      </c>
      <c r="G46" s="98" t="n">
        <f aca="false">E46+F46</f>
        <v>424.115382171288</v>
      </c>
      <c r="H46" s="98" t="n">
        <f aca="false">C46+D46-E46</f>
        <v>3353.71560185155</v>
      </c>
      <c r="I46" s="97" t="n">
        <f aca="false">I45+E46</f>
        <v>4400.54012497284</v>
      </c>
    </row>
    <row r="47" customFormat="false" ht="15" hidden="false" customHeight="false" outlineLevel="0" collapsed="false">
      <c r="A47" s="95" t="s">
        <v>682</v>
      </c>
      <c r="B47" s="96" t="s">
        <v>663</v>
      </c>
      <c r="C47" s="97" t="n">
        <f aca="false">H46</f>
        <v>3353.71560185155</v>
      </c>
      <c r="D47" s="97" t="n">
        <f aca="false">0</f>
        <v>0</v>
      </c>
      <c r="E47" s="97" t="n">
        <f aca="false">$C$5*0.0425</f>
        <v>329.555868390036</v>
      </c>
      <c r="F47" s="97" t="n">
        <f aca="false">(C47+D47/2-E47/2)*$C$7</f>
        <v>85.7026998182692</v>
      </c>
      <c r="G47" s="98" t="n">
        <f aca="false">E47+F47</f>
        <v>415.258568208306</v>
      </c>
      <c r="H47" s="98" t="n">
        <f aca="false">C47+D47-E47</f>
        <v>3024.15973346151</v>
      </c>
      <c r="I47" s="97" t="n">
        <f aca="false">I46+E47</f>
        <v>4730.09599336288</v>
      </c>
    </row>
    <row r="48" customFormat="false" ht="15" hidden="false" customHeight="false" outlineLevel="0" collapsed="false">
      <c r="A48" s="95" t="s">
        <v>683</v>
      </c>
      <c r="B48" s="96" t="s">
        <v>663</v>
      </c>
      <c r="C48" s="97" t="n">
        <f aca="false">H47</f>
        <v>3024.15973346151</v>
      </c>
      <c r="D48" s="97" t="n">
        <f aca="false">0</f>
        <v>0</v>
      </c>
      <c r="E48" s="97" t="n">
        <f aca="false">$C$5*0.0475</f>
        <v>368.327147024158</v>
      </c>
      <c r="F48" s="97" t="n">
        <f aca="false">(C48+D48/2-E48/2)*$C$7</f>
        <v>76.3248967986409</v>
      </c>
      <c r="G48" s="98" t="n">
        <f aca="false">E48+F48</f>
        <v>444.652043822799</v>
      </c>
      <c r="H48" s="98" t="n">
        <f aca="false">C48+D48-E48</f>
        <v>2655.83258643735</v>
      </c>
      <c r="I48" s="97" t="n">
        <f aca="false">I47+E48</f>
        <v>5098.42314038703</v>
      </c>
    </row>
    <row r="49" customFormat="false" ht="15" hidden="false" customHeight="false" outlineLevel="0" collapsed="false">
      <c r="A49" s="95" t="s">
        <v>684</v>
      </c>
      <c r="B49" s="96" t="s">
        <v>663</v>
      </c>
      <c r="C49" s="97" t="n">
        <f aca="false">H48</f>
        <v>2655.83258643735</v>
      </c>
      <c r="D49" s="97" t="n">
        <f aca="false">0</f>
        <v>0</v>
      </c>
      <c r="E49" s="97" t="n">
        <f aca="false">$C$5*0.0475</f>
        <v>368.327147024158</v>
      </c>
      <c r="F49" s="97" t="n">
        <f aca="false">(C49+D49/2-E49/2)*$C$7</f>
        <v>66.4261047223667</v>
      </c>
      <c r="G49" s="98" t="n">
        <f aca="false">E49+F49</f>
        <v>434.753251746525</v>
      </c>
      <c r="H49" s="98" t="n">
        <f aca="false">C49+D49-E49</f>
        <v>2287.50543941319</v>
      </c>
      <c r="I49" s="97" t="n">
        <f aca="false">I48+E49</f>
        <v>5466.75028741119</v>
      </c>
    </row>
    <row r="50" customFormat="false" ht="15" hidden="false" customHeight="false" outlineLevel="0" collapsed="false">
      <c r="A50" s="95" t="s">
        <v>685</v>
      </c>
      <c r="B50" s="96" t="s">
        <v>663</v>
      </c>
      <c r="C50" s="97" t="n">
        <f aca="false">H49</f>
        <v>2287.50543941319</v>
      </c>
      <c r="D50" s="97" t="n">
        <f aca="false">0</f>
        <v>0</v>
      </c>
      <c r="E50" s="97" t="n">
        <f aca="false">$C$5*0.0475</f>
        <v>368.327147024158</v>
      </c>
      <c r="F50" s="97" t="n">
        <f aca="false">(C50+D50/2-E50/2)*$C$7</f>
        <v>56.5273126460924</v>
      </c>
      <c r="G50" s="98" t="n">
        <f aca="false">E50+F50</f>
        <v>424.854459670251</v>
      </c>
      <c r="H50" s="98" t="n">
        <f aca="false">C50+D50-E50</f>
        <v>1919.17829238903</v>
      </c>
      <c r="I50" s="97" t="n">
        <f aca="false">I49+E50</f>
        <v>5835.07743443535</v>
      </c>
    </row>
    <row r="51" customFormat="false" ht="15" hidden="false" customHeight="false" outlineLevel="0" collapsed="false">
      <c r="A51" s="95" t="s">
        <v>686</v>
      </c>
      <c r="B51" s="96" t="s">
        <v>663</v>
      </c>
      <c r="C51" s="97" t="n">
        <f aca="false">H50</f>
        <v>1919.17829238903</v>
      </c>
      <c r="D51" s="97" t="n">
        <f aca="false">0</f>
        <v>0</v>
      </c>
      <c r="E51" s="97" t="n">
        <f aca="false">$C$5*0.0475</f>
        <v>368.327147024158</v>
      </c>
      <c r="F51" s="97" t="n">
        <f aca="false">(C51+D51/2-E51/2)*$C$7</f>
        <v>46.6285205698182</v>
      </c>
      <c r="G51" s="98" t="n">
        <f aca="false">E51+F51</f>
        <v>414.955667593976</v>
      </c>
      <c r="H51" s="98" t="n">
        <f aca="false">C51+D51-E51</f>
        <v>1550.85114536488</v>
      </c>
      <c r="I51" s="97" t="n">
        <f aca="false">I50+E51</f>
        <v>6203.40458145951</v>
      </c>
    </row>
    <row r="52" customFormat="false" ht="15" hidden="false" customHeight="false" outlineLevel="0" collapsed="false">
      <c r="A52" s="95" t="s">
        <v>687</v>
      </c>
      <c r="B52" s="96" t="s">
        <v>663</v>
      </c>
      <c r="C52" s="97" t="n">
        <f aca="false">H51</f>
        <v>1550.85114536488</v>
      </c>
      <c r="D52" s="97" t="n">
        <f aca="false">0</f>
        <v>0</v>
      </c>
      <c r="E52" s="97" t="n">
        <f aca="false">$C$5*0.05</f>
        <v>387.712786341219</v>
      </c>
      <c r="F52" s="97" t="n">
        <f aca="false">(C52+D52/2-E52/2)*$C$7</f>
        <v>36.4692339652209</v>
      </c>
      <c r="G52" s="98" t="n">
        <f aca="false">E52+F52</f>
        <v>424.18202030644</v>
      </c>
      <c r="H52" s="98" t="n">
        <f aca="false">C52+D52-E52</f>
        <v>1163.13835902366</v>
      </c>
      <c r="I52" s="97" t="n">
        <f aca="false">I51+E52</f>
        <v>6591.11736780073</v>
      </c>
    </row>
    <row r="53" customFormat="false" ht="15" hidden="false" customHeight="false" outlineLevel="0" collapsed="false">
      <c r="A53" s="95" t="s">
        <v>688</v>
      </c>
      <c r="B53" s="96" t="s">
        <v>663</v>
      </c>
      <c r="C53" s="97" t="n">
        <f aca="false">H52</f>
        <v>1163.13835902366</v>
      </c>
      <c r="D53" s="97" t="n">
        <f aca="false">0</f>
        <v>0</v>
      </c>
      <c r="E53" s="97" t="n">
        <f aca="false">$C$5*0.05</f>
        <v>387.712786341219</v>
      </c>
      <c r="F53" s="97" t="n">
        <f aca="false">(C53+D53/2-E53/2)*$C$7</f>
        <v>26.0494528323006</v>
      </c>
      <c r="G53" s="98" t="n">
        <f aca="false">E53+F53</f>
        <v>413.76223917352</v>
      </c>
      <c r="H53" s="98" t="n">
        <f aca="false">C53+D53-E53</f>
        <v>775.425572682437</v>
      </c>
      <c r="I53" s="97" t="n">
        <f aca="false">I52+E53</f>
        <v>6978.83015414194</v>
      </c>
    </row>
    <row r="54" customFormat="false" ht="15" hidden="false" customHeight="false" outlineLevel="0" collapsed="false">
      <c r="A54" s="95" t="s">
        <v>689</v>
      </c>
      <c r="B54" s="96" t="s">
        <v>663</v>
      </c>
      <c r="C54" s="97" t="n">
        <f aca="false">H53</f>
        <v>775.425572682437</v>
      </c>
      <c r="D54" s="97" t="n">
        <f aca="false">0</f>
        <v>0</v>
      </c>
      <c r="E54" s="97" t="n">
        <f aca="false">$C$5*0.05</f>
        <v>387.712786341219</v>
      </c>
      <c r="F54" s="97" t="n">
        <f aca="false">(C54+D54/2-E54/2)*$C$7</f>
        <v>15.6296716993804</v>
      </c>
      <c r="G54" s="98" t="n">
        <f aca="false">E54+F54</f>
        <v>403.3424580406</v>
      </c>
      <c r="H54" s="98" t="n">
        <f aca="false">C54+D54-E54</f>
        <v>387.712786341217</v>
      </c>
      <c r="I54" s="97" t="n">
        <f aca="false">I53+E54</f>
        <v>7366.54294048316</v>
      </c>
    </row>
    <row r="55" customFormat="false" ht="15" hidden="false" customHeight="false" outlineLevel="0" collapsed="false">
      <c r="A55" s="95" t="s">
        <v>690</v>
      </c>
      <c r="B55" s="96" t="s">
        <v>663</v>
      </c>
      <c r="C55" s="97" t="n">
        <f aca="false">H54</f>
        <v>387.712786341217</v>
      </c>
      <c r="D55" s="97" t="n">
        <f aca="false">0</f>
        <v>0</v>
      </c>
      <c r="E55" s="97" t="n">
        <f aca="false">$C$5*0.05</f>
        <v>387.712786341219</v>
      </c>
      <c r="F55" s="97" t="n">
        <f aca="false">(C55+D55/2-E55/2)*$C$7</f>
        <v>5.20989056646009</v>
      </c>
      <c r="G55" s="98" t="n">
        <f aca="false">E55+F55</f>
        <v>392.922676907679</v>
      </c>
      <c r="H55" s="98" t="n">
        <f aca="false">C55+D55-E55</f>
        <v>-1.81898940354586E-012</v>
      </c>
      <c r="I55" s="97" t="n">
        <f aca="false">I54+E55</f>
        <v>7754.25572682438</v>
      </c>
    </row>
    <row r="56" customFormat="false" ht="15" hidden="false" customHeight="false" outlineLevel="0" collapsed="false">
      <c r="A56" s="35" t="s">
        <v>178</v>
      </c>
      <c r="D56" s="67" t="n">
        <f aca="false">SUM(D10:D55)</f>
        <v>7754.25572682439</v>
      </c>
      <c r="E56" s="67" t="n">
        <f aca="false">SUM(E10:E55)</f>
        <v>7754.25572682439</v>
      </c>
      <c r="F56" s="67" t="n">
        <f aca="false">SUM(F10:F55)</f>
        <v>6489.43968958274</v>
      </c>
      <c r="G56" s="67" t="n">
        <f aca="false">SUM(G10:G55)</f>
        <v>14243.6954164071</v>
      </c>
    </row>
    <row r="58" customFormat="false" ht="15" hidden="false" customHeight="false" outlineLevel="0" collapsed="false">
      <c r="A58" s="6" t="s">
        <v>691</v>
      </c>
      <c r="E58" s="37" t="str">
        <f aca="false">IF(ABS(E56-C5)&lt;1,"OK","ERROR")</f>
        <v>OK</v>
      </c>
    </row>
    <row r="59" customFormat="false" ht="15" hidden="false" customHeight="false" outlineLevel="0" collapsed="false">
      <c r="A59" s="6" t="s">
        <v>692</v>
      </c>
      <c r="E59" s="99" t="n">
        <f aca="false">COUNTIF(E10:E55,"&gt;0")</f>
        <v>28</v>
      </c>
    </row>
    <row r="60" customFormat="false" ht="15" hidden="false" customHeight="false" outlineLevel="0" collapsed="false">
      <c r="A60" s="6" t="s">
        <v>693</v>
      </c>
      <c r="E60" s="43" t="n">
        <f aca="false">F56</f>
        <v>6489.43968958274</v>
      </c>
    </row>
    <row r="61" customFormat="false" ht="15" hidden="false" customHeight="false" outlineLevel="0" collapsed="false">
      <c r="A61" s="6" t="s">
        <v>694</v>
      </c>
      <c r="E61" s="75" t="n">
        <f aca="false">F56/C5</f>
        <v>0.8368875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O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5"/>
    <col collapsed="false" customWidth="true" hidden="false" outlineLevel="0" max="16" min="3" style="0" width="13"/>
  </cols>
  <sheetData>
    <row r="1" customFormat="false" ht="24" hidden="false" customHeight="true" outlineLevel="0" collapsed="false">
      <c r="A1" s="15" t="s">
        <v>695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" hidden="false" customHeight="false" outlineLevel="0" collapsed="false">
      <c r="A2" s="16" t="s">
        <v>696</v>
      </c>
    </row>
    <row r="4" customFormat="false" ht="15" hidden="false" customHeight="false" outlineLevel="0" collapsed="false">
      <c r="A4" s="50" t="s">
        <v>473</v>
      </c>
      <c r="B4" s="50" t="s">
        <v>381</v>
      </c>
      <c r="C4" s="51" t="s">
        <v>241</v>
      </c>
      <c r="D4" s="51" t="s">
        <v>242</v>
      </c>
      <c r="E4" s="51" t="s">
        <v>243</v>
      </c>
      <c r="F4" s="51" t="s">
        <v>244</v>
      </c>
      <c r="G4" s="51" t="s">
        <v>245</v>
      </c>
      <c r="H4" s="51" t="s">
        <v>246</v>
      </c>
      <c r="I4" s="51" t="s">
        <v>247</v>
      </c>
      <c r="J4" s="51" t="s">
        <v>248</v>
      </c>
      <c r="K4" s="51" t="s">
        <v>249</v>
      </c>
      <c r="L4" s="51" t="s">
        <v>250</v>
      </c>
    </row>
    <row r="5" customFormat="false" ht="15" hidden="false" customHeight="false" outlineLevel="0" collapsed="false">
      <c r="A5" s="52" t="s">
        <v>251</v>
      </c>
      <c r="B5" s="9"/>
      <c r="C5" s="53" t="s">
        <v>252</v>
      </c>
      <c r="D5" s="53" t="s">
        <v>253</v>
      </c>
      <c r="E5" s="53" t="s">
        <v>254</v>
      </c>
      <c r="F5" s="53" t="s">
        <v>255</v>
      </c>
      <c r="G5" s="53" t="s">
        <v>256</v>
      </c>
      <c r="H5" s="53" t="s">
        <v>257</v>
      </c>
      <c r="I5" s="53" t="s">
        <v>258</v>
      </c>
      <c r="J5" s="53" t="s">
        <v>259</v>
      </c>
      <c r="K5" s="53" t="s">
        <v>260</v>
      </c>
      <c r="L5" s="53" t="s">
        <v>261</v>
      </c>
    </row>
    <row r="6" customFormat="false" ht="15" hidden="false" customHeight="false" outlineLevel="0" collapsed="false">
      <c r="A6" s="8" t="s">
        <v>697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customFormat="false" ht="15" hidden="false" customHeight="false" outlineLevel="0" collapsed="false">
      <c r="A7" s="7" t="s">
        <v>698</v>
      </c>
      <c r="B7" s="14" t="s">
        <v>162</v>
      </c>
      <c r="C7" s="81" t="n">
        <f aca="false">'Capex &amp; Funding'!$C$32</f>
        <v>7754.25572682439</v>
      </c>
      <c r="D7" s="81" t="n">
        <f aca="false">C11</f>
        <v>7754.25572682439</v>
      </c>
      <c r="E7" s="81" t="n">
        <f aca="false">D11</f>
        <v>7754.25572682439</v>
      </c>
      <c r="F7" s="81" t="n">
        <f aca="false">E11</f>
        <v>7754.25572682439</v>
      </c>
      <c r="G7" s="81" t="n">
        <f aca="false">F11</f>
        <v>7289.00038321492</v>
      </c>
      <c r="H7" s="81" t="n">
        <f aca="false">G11</f>
        <v>6513.57481053248</v>
      </c>
      <c r="I7" s="81" t="n">
        <f aca="false">H11</f>
        <v>5505.52156604531</v>
      </c>
      <c r="J7" s="81" t="n">
        <f aca="false">I11</f>
        <v>4342.38320702166</v>
      </c>
      <c r="K7" s="81" t="n">
        <f aca="false">J11</f>
        <v>3024.15973346151</v>
      </c>
      <c r="L7" s="81" t="n">
        <f aca="false">K11</f>
        <v>1550.85114536488</v>
      </c>
    </row>
    <row r="8" customFormat="false" ht="15" hidden="false" customHeight="false" outlineLevel="0" collapsed="false">
      <c r="A8" s="7" t="s">
        <v>699</v>
      </c>
      <c r="B8" s="14" t="s">
        <v>129</v>
      </c>
      <c r="C8" s="82" t="n">
        <f aca="false">Assumptions!C$118</f>
        <v>0</v>
      </c>
      <c r="D8" s="82" t="n">
        <f aca="false">Assumptions!D$118</f>
        <v>0</v>
      </c>
      <c r="E8" s="82" t="n">
        <f aca="false">Assumptions!E$118</f>
        <v>0</v>
      </c>
      <c r="F8" s="82" t="n">
        <f aca="false">Assumptions!F$118</f>
        <v>0.06</v>
      </c>
      <c r="G8" s="82" t="n">
        <f aca="false">Assumptions!G$118</f>
        <v>0.1</v>
      </c>
      <c r="H8" s="82" t="n">
        <f aca="false">Assumptions!H$118</f>
        <v>0.13</v>
      </c>
      <c r="I8" s="82" t="n">
        <f aca="false">Assumptions!I$118</f>
        <v>0.15</v>
      </c>
      <c r="J8" s="82" t="n">
        <f aca="false">Assumptions!J$118</f>
        <v>0.17</v>
      </c>
      <c r="K8" s="82" t="n">
        <f aca="false">Assumptions!K$118</f>
        <v>0.19</v>
      </c>
      <c r="L8" s="82" t="n">
        <f aca="false">Assumptions!L$118</f>
        <v>0.2</v>
      </c>
    </row>
    <row r="9" customFormat="false" ht="15" hidden="false" customHeight="false" outlineLevel="0" collapsed="false">
      <c r="A9" s="7" t="s">
        <v>700</v>
      </c>
      <c r="B9" s="14" t="s">
        <v>162</v>
      </c>
      <c r="C9" s="81" t="n">
        <f aca="false">'Capex &amp; Funding'!$C$32*C8</f>
        <v>0</v>
      </c>
      <c r="D9" s="81" t="n">
        <f aca="false">'Capex &amp; Funding'!$C$32*D8</f>
        <v>0</v>
      </c>
      <c r="E9" s="81" t="n">
        <f aca="false">'Capex &amp; Funding'!$C$32*E8</f>
        <v>0</v>
      </c>
      <c r="F9" s="81" t="n">
        <f aca="false">'Capex &amp; Funding'!$C$32*F8</f>
        <v>465.255343609463</v>
      </c>
      <c r="G9" s="81" t="n">
        <f aca="false">'Capex &amp; Funding'!$C$32*G8</f>
        <v>775.425572682439</v>
      </c>
      <c r="H9" s="81" t="n">
        <f aca="false">'Capex &amp; Funding'!$C$32*H8</f>
        <v>1008.05324448717</v>
      </c>
      <c r="I9" s="81" t="n">
        <f aca="false">'Capex &amp; Funding'!$C$32*I8</f>
        <v>1163.13835902366</v>
      </c>
      <c r="J9" s="81" t="n">
        <f aca="false">'Capex &amp; Funding'!$C$32*J8</f>
        <v>1318.22347356015</v>
      </c>
      <c r="K9" s="81" t="n">
        <f aca="false">'Capex &amp; Funding'!$C$32*K8</f>
        <v>1473.30858809663</v>
      </c>
      <c r="L9" s="81" t="n">
        <f aca="false">'Capex &amp; Funding'!$C$32*L8</f>
        <v>1550.85114536488</v>
      </c>
    </row>
    <row r="10" customFormat="false" ht="15" hidden="false" customHeight="false" outlineLevel="0" collapsed="false">
      <c r="A10" s="7" t="s">
        <v>701</v>
      </c>
      <c r="B10" s="14" t="s">
        <v>162</v>
      </c>
      <c r="C10" s="81" t="n">
        <f aca="false">(C7-C9/2)*Assumptions!$C$106</f>
        <v>833.582490633621</v>
      </c>
      <c r="D10" s="81" t="n">
        <f aca="false">(D7-D9/2)*Assumptions!$C$106</f>
        <v>833.582490633621</v>
      </c>
      <c r="E10" s="81" t="n">
        <f aca="false">(E7-E9/2)*Assumptions!$C$106</f>
        <v>833.582490633621</v>
      </c>
      <c r="F10" s="81" t="n">
        <f aca="false">(F7-F9/2)*Assumptions!$C$106</f>
        <v>808.575015914613</v>
      </c>
      <c r="G10" s="81" t="n">
        <f aca="false">(G7-G9/2)*Assumptions!$C$106</f>
        <v>741.888416663923</v>
      </c>
      <c r="H10" s="81" t="n">
        <f aca="false">(H7-H9/2)*Assumptions!$C$106</f>
        <v>646.026430241057</v>
      </c>
      <c r="I10" s="81" t="n">
        <f aca="false">(I7-I9/2)*Assumptions!$C$106</f>
        <v>529.32488155235</v>
      </c>
      <c r="J10" s="81" t="n">
        <f aca="false">(J7-J9/2)*Assumptions!$C$106</f>
        <v>395.95168305097</v>
      </c>
      <c r="K10" s="81" t="n">
        <f aca="false">(K7-K9/2)*Assumptions!$C$106</f>
        <v>245.906834736918</v>
      </c>
      <c r="L10" s="81" t="n">
        <f aca="false">(L7-L9/2)*Assumptions!$C$106</f>
        <v>83.3582490633621</v>
      </c>
      <c r="N10" s="14" t="s">
        <v>702</v>
      </c>
    </row>
    <row r="11" customFormat="false" ht="15" hidden="false" customHeight="false" outlineLevel="0" collapsed="false">
      <c r="A11" s="35" t="s">
        <v>703</v>
      </c>
      <c r="B11" s="80" t="s">
        <v>162</v>
      </c>
      <c r="C11" s="67" t="n">
        <f aca="false">MAX(C7-C9,0)</f>
        <v>7754.25572682439</v>
      </c>
      <c r="D11" s="67" t="n">
        <f aca="false">MAX(D7-D9,0)</f>
        <v>7754.25572682439</v>
      </c>
      <c r="E11" s="67" t="n">
        <f aca="false">MAX(E7-E9,0)</f>
        <v>7754.25572682439</v>
      </c>
      <c r="F11" s="67" t="n">
        <f aca="false">MAX(F7-F9,0)</f>
        <v>7289.00038321492</v>
      </c>
      <c r="G11" s="67" t="n">
        <f aca="false">MAX(G7-G9,0)</f>
        <v>6513.57481053248</v>
      </c>
      <c r="H11" s="67" t="n">
        <f aca="false">MAX(H7-H9,0)</f>
        <v>5505.52156604531</v>
      </c>
      <c r="I11" s="67" t="n">
        <f aca="false">MAX(I7-I9,0)</f>
        <v>4342.38320702166</v>
      </c>
      <c r="J11" s="67" t="n">
        <f aca="false">MAX(J7-J9,0)</f>
        <v>3024.15973346151</v>
      </c>
      <c r="K11" s="67" t="n">
        <f aca="false">MAX(K7-K9,0)</f>
        <v>1550.85114536488</v>
      </c>
      <c r="L11" s="67" t="n">
        <f aca="false">MAX(L7-L9,0)</f>
        <v>0</v>
      </c>
    </row>
    <row r="13" customFormat="false" ht="15" hidden="false" customHeight="false" outlineLevel="0" collapsed="false">
      <c r="A13" s="8" t="s">
        <v>704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customFormat="false" ht="15" hidden="false" customHeight="false" outlineLevel="0" collapsed="false">
      <c r="A14" s="7" t="s">
        <v>705</v>
      </c>
      <c r="B14" s="14" t="s">
        <v>162</v>
      </c>
      <c r="C14" s="79" t="n">
        <f aca="false">Assumptions!$C$113</f>
        <v>900</v>
      </c>
      <c r="D14" s="79" t="n">
        <f aca="false">Assumptions!$C$113</f>
        <v>900</v>
      </c>
      <c r="E14" s="79" t="n">
        <f aca="false">Assumptions!$C$113</f>
        <v>900</v>
      </c>
      <c r="F14" s="79" t="n">
        <f aca="false">Assumptions!$C$113</f>
        <v>900</v>
      </c>
      <c r="G14" s="79" t="n">
        <f aca="false">Assumptions!$C$113</f>
        <v>900</v>
      </c>
      <c r="H14" s="79" t="n">
        <f aca="false">Assumptions!$C$113</f>
        <v>900</v>
      </c>
      <c r="I14" s="79" t="n">
        <f aca="false">Assumptions!$C$113</f>
        <v>900</v>
      </c>
      <c r="J14" s="79" t="n">
        <f aca="false">Assumptions!$C$113</f>
        <v>900</v>
      </c>
      <c r="K14" s="79" t="n">
        <f aca="false">Assumptions!$C$113</f>
        <v>900</v>
      </c>
      <c r="L14" s="79" t="n">
        <f aca="false">Assumptions!$C$113</f>
        <v>900</v>
      </c>
    </row>
    <row r="15" customFormat="false" ht="15" hidden="false" customHeight="false" outlineLevel="0" collapsed="false">
      <c r="A15" s="7" t="s">
        <v>525</v>
      </c>
      <c r="B15" s="14" t="s">
        <v>129</v>
      </c>
      <c r="C15" s="82" t="n">
        <f aca="false">Assumptions!C$119</f>
        <v>0.35</v>
      </c>
      <c r="D15" s="82" t="n">
        <f aca="false">Assumptions!D$119</f>
        <v>0.55</v>
      </c>
      <c r="E15" s="82" t="n">
        <f aca="false">Assumptions!E$119</f>
        <v>0.7</v>
      </c>
      <c r="F15" s="82" t="n">
        <f aca="false">Assumptions!F$119</f>
        <v>0.75</v>
      </c>
      <c r="G15" s="82" t="n">
        <f aca="false">Assumptions!G$119</f>
        <v>0.8</v>
      </c>
      <c r="H15" s="82" t="n">
        <f aca="false">Assumptions!H$119</f>
        <v>0.8</v>
      </c>
      <c r="I15" s="82" t="n">
        <f aca="false">Assumptions!I$119</f>
        <v>0.8</v>
      </c>
      <c r="J15" s="82" t="n">
        <f aca="false">Assumptions!J$119</f>
        <v>0.8</v>
      </c>
      <c r="K15" s="82" t="n">
        <f aca="false">Assumptions!K$119</f>
        <v>0.8</v>
      </c>
      <c r="L15" s="82" t="n">
        <f aca="false">Assumptions!L$119</f>
        <v>0.8</v>
      </c>
    </row>
    <row r="16" customFormat="false" ht="15" hidden="false" customHeight="false" outlineLevel="0" collapsed="false">
      <c r="A16" s="7" t="s">
        <v>706</v>
      </c>
      <c r="B16" s="14" t="s">
        <v>162</v>
      </c>
      <c r="C16" s="81" t="n">
        <f aca="false">C14*C15</f>
        <v>315</v>
      </c>
      <c r="D16" s="81" t="n">
        <f aca="false">D14*D15</f>
        <v>495</v>
      </c>
      <c r="E16" s="81" t="n">
        <f aca="false">E14*E15</f>
        <v>630</v>
      </c>
      <c r="F16" s="81" t="n">
        <f aca="false">F14*F15</f>
        <v>675</v>
      </c>
      <c r="G16" s="81" t="n">
        <f aca="false">G14*G15</f>
        <v>720</v>
      </c>
      <c r="H16" s="81" t="n">
        <f aca="false">H14*H15</f>
        <v>720</v>
      </c>
      <c r="I16" s="81" t="n">
        <f aca="false">I14*I15</f>
        <v>720</v>
      </c>
      <c r="J16" s="81" t="n">
        <f aca="false">J14*J15</f>
        <v>720</v>
      </c>
      <c r="K16" s="81" t="n">
        <f aca="false">K14*K15</f>
        <v>720</v>
      </c>
      <c r="L16" s="81" t="n">
        <f aca="false">L14*L15</f>
        <v>720</v>
      </c>
    </row>
    <row r="17" customFormat="false" ht="15" hidden="false" customHeight="false" outlineLevel="0" collapsed="false">
      <c r="A17" s="7" t="s">
        <v>707</v>
      </c>
      <c r="B17" s="14" t="s">
        <v>162</v>
      </c>
      <c r="C17" s="81" t="n">
        <f aca="false">C16*Assumptions!$C$114</f>
        <v>36.225</v>
      </c>
      <c r="D17" s="81" t="n">
        <f aca="false">D16*Assumptions!$C$114</f>
        <v>56.925</v>
      </c>
      <c r="E17" s="81" t="n">
        <f aca="false">E16*Assumptions!$C$114</f>
        <v>72.45</v>
      </c>
      <c r="F17" s="81" t="n">
        <f aca="false">F16*Assumptions!$C$114</f>
        <v>77.625</v>
      </c>
      <c r="G17" s="81" t="n">
        <f aca="false">G16*Assumptions!$C$114</f>
        <v>82.8</v>
      </c>
      <c r="H17" s="81" t="n">
        <f aca="false">H16*Assumptions!$C$114</f>
        <v>82.8</v>
      </c>
      <c r="I17" s="81" t="n">
        <f aca="false">I16*Assumptions!$C$114</f>
        <v>82.8</v>
      </c>
      <c r="J17" s="81" t="n">
        <f aca="false">J16*Assumptions!$C$114</f>
        <v>82.8</v>
      </c>
      <c r="K17" s="81" t="n">
        <f aca="false">K16*Assumptions!$C$114</f>
        <v>82.8</v>
      </c>
      <c r="L17" s="81" t="n">
        <f aca="false">L16*Assumptions!$C$114</f>
        <v>82.8</v>
      </c>
    </row>
    <row r="18" customFormat="false" ht="15" hidden="false" customHeight="false" outlineLevel="0" collapsed="false">
      <c r="A18" s="7" t="s">
        <v>708</v>
      </c>
      <c r="B18" s="14" t="s">
        <v>162</v>
      </c>
      <c r="C18" s="81" t="n">
        <f aca="false">C16</f>
        <v>315</v>
      </c>
      <c r="D18" s="81" t="n">
        <f aca="false">D16-C16</f>
        <v>180</v>
      </c>
      <c r="E18" s="81" t="n">
        <f aca="false">E16-D16</f>
        <v>135</v>
      </c>
      <c r="F18" s="81" t="n">
        <f aca="false">F16-E16</f>
        <v>45</v>
      </c>
      <c r="G18" s="81" t="n">
        <f aca="false">G16-F16</f>
        <v>45</v>
      </c>
      <c r="H18" s="81" t="n">
        <f aca="false">H16-G16</f>
        <v>0</v>
      </c>
      <c r="I18" s="81" t="n">
        <f aca="false">I16-H16</f>
        <v>0</v>
      </c>
      <c r="J18" s="81" t="n">
        <f aca="false">J16-I16</f>
        <v>0</v>
      </c>
      <c r="K18" s="81" t="n">
        <f aca="false">K16-J16</f>
        <v>0</v>
      </c>
      <c r="L18" s="81" t="n">
        <f aca="false">L16-K16</f>
        <v>0</v>
      </c>
    </row>
    <row r="20" customFormat="false" ht="15" hidden="false" customHeight="false" outlineLevel="0" collapsed="false">
      <c r="A20" s="19" t="s">
        <v>709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</row>
    <row r="21" customFormat="false" ht="15" hidden="false" customHeight="false" outlineLevel="0" collapsed="false">
      <c r="A21" s="35" t="s">
        <v>710</v>
      </c>
      <c r="B21" s="80" t="s">
        <v>162</v>
      </c>
      <c r="C21" s="67" t="n">
        <f aca="false">C11+C16</f>
        <v>8069.25572682439</v>
      </c>
      <c r="D21" s="67" t="n">
        <f aca="false">D11+D16</f>
        <v>8249.25572682439</v>
      </c>
      <c r="E21" s="67" t="n">
        <f aca="false">E11+E16</f>
        <v>8384.25572682439</v>
      </c>
      <c r="F21" s="67" t="n">
        <f aca="false">F11+F16</f>
        <v>7964.00038321492</v>
      </c>
      <c r="G21" s="67" t="n">
        <f aca="false">G11+G16</f>
        <v>7233.57481053248</v>
      </c>
      <c r="H21" s="67" t="n">
        <f aca="false">H11+H16</f>
        <v>6225.52156604531</v>
      </c>
      <c r="I21" s="67" t="n">
        <f aca="false">I11+I16</f>
        <v>5062.38320702166</v>
      </c>
      <c r="J21" s="67" t="n">
        <f aca="false">J11+J16</f>
        <v>3744.15973346151</v>
      </c>
      <c r="K21" s="67" t="n">
        <f aca="false">K11+K16</f>
        <v>2270.85114536488</v>
      </c>
      <c r="L21" s="67" t="n">
        <f aca="false">L11+L16</f>
        <v>720</v>
      </c>
    </row>
    <row r="22" customFormat="false" ht="15" hidden="false" customHeight="false" outlineLevel="0" collapsed="false">
      <c r="A22" s="35" t="s">
        <v>711</v>
      </c>
      <c r="B22" s="80" t="s">
        <v>162</v>
      </c>
      <c r="C22" s="67" t="n">
        <f aca="false">C10+C17</f>
        <v>869.807490633622</v>
      </c>
      <c r="D22" s="67" t="n">
        <f aca="false">D10+D17</f>
        <v>890.507490633622</v>
      </c>
      <c r="E22" s="67" t="n">
        <f aca="false">E10+E17</f>
        <v>906.032490633622</v>
      </c>
      <c r="F22" s="67" t="n">
        <f aca="false">F10+F17</f>
        <v>886.200015914613</v>
      </c>
      <c r="G22" s="67" t="n">
        <f aca="false">G10+G17</f>
        <v>824.688416663923</v>
      </c>
      <c r="H22" s="67" t="n">
        <f aca="false">H10+H17</f>
        <v>728.826430241057</v>
      </c>
      <c r="I22" s="67" t="n">
        <f aca="false">I10+I17</f>
        <v>612.12488155235</v>
      </c>
      <c r="J22" s="67" t="n">
        <f aca="false">J10+J17</f>
        <v>478.75168305097</v>
      </c>
      <c r="K22" s="67" t="n">
        <f aca="false">K10+K17</f>
        <v>328.706834736918</v>
      </c>
      <c r="L22" s="67" t="n">
        <f aca="false">L10+L17</f>
        <v>166.158249063362</v>
      </c>
    </row>
    <row r="23" customFormat="false" ht="15" hidden="false" customHeight="false" outlineLevel="0" collapsed="false">
      <c r="A23" s="6" t="s">
        <v>712</v>
      </c>
      <c r="B23" s="14" t="s">
        <v>162</v>
      </c>
      <c r="C23" s="85" t="n">
        <f aca="false">C10+C9</f>
        <v>833.582490633621</v>
      </c>
      <c r="D23" s="85" t="n">
        <f aca="false">D10+D9</f>
        <v>833.582490633621</v>
      </c>
      <c r="E23" s="85" t="n">
        <f aca="false">E10+E9</f>
        <v>833.582490633621</v>
      </c>
      <c r="F23" s="85" t="n">
        <f aca="false">F10+F9</f>
        <v>1273.83035952408</v>
      </c>
      <c r="G23" s="85" t="n">
        <f aca="false">G10+G9</f>
        <v>1517.31398934636</v>
      </c>
      <c r="H23" s="85" t="n">
        <f aca="false">H10+H9</f>
        <v>1654.07967472823</v>
      </c>
      <c r="I23" s="85" t="n">
        <f aca="false">I10+I9</f>
        <v>1692.46324057601</v>
      </c>
      <c r="J23" s="85" t="n">
        <f aca="false">J10+J9</f>
        <v>1714.17515661112</v>
      </c>
      <c r="K23" s="85" t="n">
        <f aca="false">K10+K9</f>
        <v>1719.21542283355</v>
      </c>
      <c r="L23" s="85" t="n">
        <f aca="false">L10+L9</f>
        <v>1634.20939442824</v>
      </c>
    </row>
    <row r="24" customFormat="false" ht="15" hidden="false" customHeight="false" outlineLevel="0" collapsed="false">
      <c r="A24" s="7" t="s">
        <v>713</v>
      </c>
      <c r="B24" s="14" t="s">
        <v>129</v>
      </c>
      <c r="C24" s="100" t="n">
        <f aca="false">IFERROR(C22/((C7+C11)/2+C16),0)</f>
        <v>0.107792777931445</v>
      </c>
      <c r="D24" s="100" t="n">
        <f aca="false">IFERROR(D22/((D7+D11)/2+D16),0)</f>
        <v>0.107950040600381</v>
      </c>
      <c r="E24" s="100" t="n">
        <f aca="false">IFERROR(E22/((E7+E11)/2+E16),0)</f>
        <v>0.108063556283819</v>
      </c>
      <c r="F24" s="100" t="n">
        <f aca="false">IFERROR(F22/((F7+F11)/2+F16),0)</f>
        <v>0.108117632026977</v>
      </c>
      <c r="G24" s="100" t="n">
        <f aca="false">IFERROR(G22/((G7+G11)/2+G16),0)</f>
        <v>0.108208541690805</v>
      </c>
      <c r="H24" s="100" t="n">
        <f aca="false">IFERROR(H22/((H7+H11)/2+H16),0)</f>
        <v>0.108302431284971</v>
      </c>
      <c r="I24" s="100" t="n">
        <f aca="false">IFERROR(I22/((I7+I11)/2+I16),0)</f>
        <v>0.108456776320949</v>
      </c>
      <c r="J24" s="100" t="n">
        <f aca="false">IFERROR(J22/((J7+J11)/2+J16),0)</f>
        <v>0.10872636090836</v>
      </c>
      <c r="K24" s="100" t="n">
        <f aca="false">IFERROR(K22/((K7+K11)/2+K16),0)</f>
        <v>0.10929550797456</v>
      </c>
      <c r="L24" s="100" t="n">
        <f aca="false">IFERROR(L22/((L7+L11)/2+L16),0)</f>
        <v>0.111111012208594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O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5"/>
    <col collapsed="false" customWidth="true" hidden="false" outlineLevel="0" max="16" min="3" style="0" width="13"/>
  </cols>
  <sheetData>
    <row r="1" customFormat="false" ht="24" hidden="false" customHeight="true" outlineLevel="0" collapsed="false">
      <c r="A1" s="15" t="s">
        <v>714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" hidden="false" customHeight="false" outlineLevel="0" collapsed="false">
      <c r="A2" s="16" t="s">
        <v>715</v>
      </c>
    </row>
    <row r="4" customFormat="false" ht="15" hidden="false" customHeight="false" outlineLevel="0" collapsed="false">
      <c r="A4" s="50" t="s">
        <v>473</v>
      </c>
      <c r="B4" s="50" t="s">
        <v>439</v>
      </c>
      <c r="C4" s="51" t="s">
        <v>241</v>
      </c>
      <c r="D4" s="51" t="s">
        <v>242</v>
      </c>
      <c r="E4" s="51" t="s">
        <v>243</v>
      </c>
      <c r="F4" s="51" t="s">
        <v>244</v>
      </c>
      <c r="G4" s="51" t="s">
        <v>245</v>
      </c>
      <c r="H4" s="51" t="s">
        <v>246</v>
      </c>
      <c r="I4" s="51" t="s">
        <v>247</v>
      </c>
      <c r="J4" s="51" t="s">
        <v>248</v>
      </c>
      <c r="K4" s="51" t="s">
        <v>249</v>
      </c>
      <c r="L4" s="51" t="s">
        <v>250</v>
      </c>
    </row>
    <row r="5" customFormat="false" ht="15" hidden="false" customHeight="false" outlineLevel="0" collapsed="false">
      <c r="A5" s="52" t="s">
        <v>251</v>
      </c>
      <c r="B5" s="9"/>
      <c r="C5" s="53" t="s">
        <v>252</v>
      </c>
      <c r="D5" s="53" t="s">
        <v>253</v>
      </c>
      <c r="E5" s="53" t="s">
        <v>254</v>
      </c>
      <c r="F5" s="53" t="s">
        <v>255</v>
      </c>
      <c r="G5" s="53" t="s">
        <v>256</v>
      </c>
      <c r="H5" s="53" t="s">
        <v>257</v>
      </c>
      <c r="I5" s="53" t="s">
        <v>258</v>
      </c>
      <c r="J5" s="53" t="s">
        <v>259</v>
      </c>
      <c r="K5" s="53" t="s">
        <v>260</v>
      </c>
      <c r="L5" s="53" t="s">
        <v>261</v>
      </c>
    </row>
    <row r="6" customFormat="false" ht="15" hidden="false" customHeight="false" outlineLevel="0" collapsed="false">
      <c r="A6" s="6" t="s">
        <v>716</v>
      </c>
      <c r="B6" s="14" t="s">
        <v>162</v>
      </c>
      <c r="C6" s="79" t="n">
        <f aca="false">'Revenue Build'!C$43</f>
        <v>3013.321464</v>
      </c>
      <c r="D6" s="79" t="n">
        <f aca="false">'Revenue Build'!D$43</f>
        <v>5112.405485</v>
      </c>
      <c r="E6" s="79" t="n">
        <f aca="false">'Revenue Build'!E$43</f>
        <v>7204.8789977175</v>
      </c>
      <c r="F6" s="79" t="n">
        <f aca="false">'Revenue Build'!F$43</f>
        <v>8880.23550953164</v>
      </c>
      <c r="G6" s="79" t="n">
        <f aca="false">'Revenue Build'!G$43</f>
        <v>10439.458736271</v>
      </c>
      <c r="H6" s="79" t="n">
        <f aca="false">'Revenue Build'!H$43</f>
        <v>11622.049546621</v>
      </c>
      <c r="I6" s="79" t="n">
        <f aca="false">'Revenue Build'!I$43</f>
        <v>12602.740462311</v>
      </c>
      <c r="J6" s="79" t="n">
        <f aca="false">'Revenue Build'!J$43</f>
        <v>13591.6296339557</v>
      </c>
      <c r="K6" s="79" t="n">
        <f aca="false">'Revenue Build'!K$43</f>
        <v>14684.0487072853</v>
      </c>
      <c r="L6" s="79" t="n">
        <f aca="false">'Revenue Build'!L$43</f>
        <v>15830.8165856815</v>
      </c>
    </row>
    <row r="8" customFormat="false" ht="15" hidden="false" customHeight="false" outlineLevel="0" collapsed="false">
      <c r="A8" s="8" t="s">
        <v>717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customFormat="false" ht="15" hidden="false" customHeight="false" outlineLevel="0" collapsed="false">
      <c r="A9" s="7" t="s">
        <v>718</v>
      </c>
      <c r="B9" s="14" t="s">
        <v>162</v>
      </c>
      <c r="C9" s="79" t="n">
        <f aca="false">'Operating Costs'!C$7</f>
        <v>292.71813604</v>
      </c>
      <c r="D9" s="79" t="n">
        <f aca="false">'Operating Costs'!D$7</f>
        <v>496.81206091</v>
      </c>
      <c r="E9" s="79" t="n">
        <f aca="false">'Operating Costs'!E$7</f>
        <v>697.154819921725</v>
      </c>
      <c r="F9" s="79" t="n">
        <f aca="false">'Operating Costs'!F$7</f>
        <v>856.946859715193</v>
      </c>
      <c r="G9" s="79" t="n">
        <f aca="false">'Operating Costs'!G$7</f>
        <v>1004.95333513333</v>
      </c>
      <c r="H9" s="79" t="n">
        <f aca="false">'Operating Costs'!H$7</f>
        <v>1116.29456779627</v>
      </c>
      <c r="I9" s="79" t="n">
        <f aca="false">'Operating Costs'!I$7</f>
        <v>1204.24787874007</v>
      </c>
      <c r="J9" s="79" t="n">
        <f aca="false">'Operating Costs'!J$7</f>
        <v>1296.84888285553</v>
      </c>
      <c r="K9" s="79" t="n">
        <f aca="false">'Operating Costs'!K$7</f>
        <v>1396.46851777961</v>
      </c>
      <c r="L9" s="79" t="n">
        <f aca="false">'Operating Costs'!L$7</f>
        <v>1503.63379079539</v>
      </c>
    </row>
    <row r="10" customFormat="false" ht="15" hidden="false" customHeight="false" outlineLevel="0" collapsed="false">
      <c r="A10" s="7" t="s">
        <v>719</v>
      </c>
      <c r="B10" s="14" t="s">
        <v>162</v>
      </c>
      <c r="C10" s="79" t="n">
        <f aca="false">'Operating Costs'!C$8</f>
        <v>693.06393672</v>
      </c>
      <c r="D10" s="79" t="n">
        <f aca="false">'Operating Costs'!D$8</f>
        <v>1175.85326155</v>
      </c>
      <c r="E10" s="79" t="n">
        <f aca="false">'Operating Costs'!E$8</f>
        <v>1657.12216947502</v>
      </c>
      <c r="F10" s="79" t="n">
        <f aca="false">'Operating Costs'!F$8</f>
        <v>2042.45416719228</v>
      </c>
      <c r="G10" s="79" t="n">
        <f aca="false">'Operating Costs'!G$8</f>
        <v>2401.07550934234</v>
      </c>
      <c r="H10" s="79" t="n">
        <f aca="false">'Operating Costs'!H$8</f>
        <v>2673.07139572284</v>
      </c>
      <c r="I10" s="79" t="n">
        <f aca="false">'Operating Costs'!I$8</f>
        <v>2898.63030633154</v>
      </c>
      <c r="J10" s="79" t="n">
        <f aca="false">'Operating Costs'!J$8</f>
        <v>3126.07481580981</v>
      </c>
      <c r="K10" s="79" t="n">
        <f aca="false">'Operating Costs'!K$8</f>
        <v>3377.33120267562</v>
      </c>
      <c r="L10" s="79" t="n">
        <f aca="false">'Operating Costs'!L$8</f>
        <v>3641.08781470675</v>
      </c>
    </row>
    <row r="11" customFormat="false" ht="15" hidden="false" customHeight="false" outlineLevel="0" collapsed="false">
      <c r="A11" s="7" t="s">
        <v>720</v>
      </c>
      <c r="B11" s="14" t="s">
        <v>162</v>
      </c>
      <c r="C11" s="79" t="n">
        <f aca="false">'Operating Costs'!C$12</f>
        <v>1493.9</v>
      </c>
      <c r="D11" s="79" t="n">
        <f aca="false">'Operating Costs'!D$12</f>
        <v>1857.168</v>
      </c>
      <c r="E11" s="79" t="n">
        <f aca="false">'Operating Costs'!E$12</f>
        <v>2146.29264</v>
      </c>
      <c r="F11" s="79" t="n">
        <f aca="false">'Operating Costs'!F$12</f>
        <v>2407.1836608</v>
      </c>
      <c r="G11" s="79" t="n">
        <f aca="false">'Operating Costs'!G$12</f>
        <v>2645.606831616</v>
      </c>
      <c r="H11" s="79" t="n">
        <f aca="false">'Operating Costs'!H$12</f>
        <v>2857.25537814528</v>
      </c>
      <c r="I11" s="79" t="n">
        <f aca="false">'Operating Costs'!I$12</f>
        <v>3085.8358083969</v>
      </c>
      <c r="J11" s="79" t="n">
        <f aca="false">'Operating Costs'!J$12</f>
        <v>3332.70267306866</v>
      </c>
      <c r="K11" s="79" t="n">
        <f aca="false">'Operating Costs'!K$12</f>
        <v>3599.31888691415</v>
      </c>
      <c r="L11" s="79" t="n">
        <f aca="false">'Operating Costs'!L$12</f>
        <v>3887.26439786728</v>
      </c>
    </row>
    <row r="12" customFormat="false" ht="15" hidden="false" customHeight="false" outlineLevel="0" collapsed="false">
      <c r="A12" s="7" t="s">
        <v>584</v>
      </c>
      <c r="B12" s="14" t="s">
        <v>162</v>
      </c>
      <c r="C12" s="79" t="n">
        <f aca="false">'Operating Costs'!C$13</f>
        <v>200</v>
      </c>
      <c r="D12" s="79" t="n">
        <f aca="false">'Operating Costs'!D$13</f>
        <v>250</v>
      </c>
      <c r="E12" s="79" t="n">
        <f aca="false">'Operating Costs'!E$13</f>
        <v>310</v>
      </c>
      <c r="F12" s="79" t="n">
        <f aca="false">'Operating Costs'!F$13</f>
        <v>380</v>
      </c>
      <c r="G12" s="79" t="n">
        <f aca="false">'Operating Costs'!G$13</f>
        <v>460</v>
      </c>
      <c r="H12" s="79" t="n">
        <f aca="false">'Operating Costs'!H$13</f>
        <v>500</v>
      </c>
      <c r="I12" s="79" t="n">
        <f aca="false">'Operating Costs'!I$13</f>
        <v>530</v>
      </c>
      <c r="J12" s="79" t="n">
        <f aca="false">'Operating Costs'!J$13</f>
        <v>560</v>
      </c>
      <c r="K12" s="79" t="n">
        <f aca="false">'Operating Costs'!K$13</f>
        <v>590</v>
      </c>
      <c r="L12" s="79" t="n">
        <f aca="false">'Operating Costs'!L$13</f>
        <v>620</v>
      </c>
    </row>
    <row r="13" customFormat="false" ht="15" hidden="false" customHeight="false" outlineLevel="0" collapsed="false">
      <c r="A13" s="7" t="s">
        <v>585</v>
      </c>
      <c r="B13" s="14" t="s">
        <v>162</v>
      </c>
      <c r="C13" s="79" t="n">
        <f aca="false">'Operating Costs'!C$14</f>
        <v>185</v>
      </c>
      <c r="D13" s="79" t="n">
        <f aca="false">'Operating Costs'!D$14</f>
        <v>215</v>
      </c>
      <c r="E13" s="79" t="n">
        <f aca="false">'Operating Costs'!E$14</f>
        <v>265</v>
      </c>
      <c r="F13" s="79" t="n">
        <f aca="false">'Operating Costs'!F$14</f>
        <v>300</v>
      </c>
      <c r="G13" s="79" t="n">
        <f aca="false">'Operating Costs'!G$14</f>
        <v>420</v>
      </c>
      <c r="H13" s="79" t="n">
        <f aca="false">'Operating Costs'!H$14</f>
        <v>445</v>
      </c>
      <c r="I13" s="79" t="n">
        <f aca="false">'Operating Costs'!I$14</f>
        <v>470</v>
      </c>
      <c r="J13" s="79" t="n">
        <f aca="false">'Operating Costs'!J$14</f>
        <v>495</v>
      </c>
      <c r="K13" s="79" t="n">
        <f aca="false">'Operating Costs'!K$14</f>
        <v>520</v>
      </c>
      <c r="L13" s="79" t="n">
        <f aca="false">'Operating Costs'!L$14</f>
        <v>545</v>
      </c>
    </row>
    <row r="14" customFormat="false" ht="15" hidden="false" customHeight="false" outlineLevel="0" collapsed="false">
      <c r="A14" s="7" t="s">
        <v>586</v>
      </c>
      <c r="B14" s="14" t="s">
        <v>162</v>
      </c>
      <c r="C14" s="79" t="n">
        <f aca="false">'Operating Costs'!C$15</f>
        <v>120</v>
      </c>
      <c r="D14" s="79" t="n">
        <f aca="false">'Operating Costs'!D$15</f>
        <v>145</v>
      </c>
      <c r="E14" s="79" t="n">
        <f aca="false">'Operating Costs'!E$15</f>
        <v>190</v>
      </c>
      <c r="F14" s="79" t="n">
        <f aca="false">'Operating Costs'!F$15</f>
        <v>240</v>
      </c>
      <c r="G14" s="79" t="n">
        <f aca="false">'Operating Costs'!G$15</f>
        <v>300</v>
      </c>
      <c r="H14" s="79" t="n">
        <f aca="false">'Operating Costs'!H$15</f>
        <v>330</v>
      </c>
      <c r="I14" s="79" t="n">
        <f aca="false">'Operating Costs'!I$15</f>
        <v>355</v>
      </c>
      <c r="J14" s="79" t="n">
        <f aca="false">'Operating Costs'!J$15</f>
        <v>380</v>
      </c>
      <c r="K14" s="79" t="n">
        <f aca="false">'Operating Costs'!K$15</f>
        <v>405</v>
      </c>
      <c r="L14" s="79" t="n">
        <f aca="false">'Operating Costs'!L$15</f>
        <v>430</v>
      </c>
    </row>
    <row r="15" customFormat="false" ht="15" hidden="false" customHeight="false" outlineLevel="0" collapsed="false">
      <c r="A15" s="7" t="s">
        <v>721</v>
      </c>
      <c r="B15" s="14" t="s">
        <v>162</v>
      </c>
      <c r="C15" s="79" t="n">
        <f aca="false">'Operating Costs'!C$16</f>
        <v>155</v>
      </c>
      <c r="D15" s="79" t="n">
        <f aca="false">'Operating Costs'!D$16</f>
        <v>180</v>
      </c>
      <c r="E15" s="79" t="n">
        <f aca="false">'Operating Costs'!E$16</f>
        <v>230</v>
      </c>
      <c r="F15" s="79" t="n">
        <f aca="false">'Operating Costs'!F$16</f>
        <v>300</v>
      </c>
      <c r="G15" s="79" t="n">
        <f aca="false">'Operating Costs'!G$16</f>
        <v>380</v>
      </c>
      <c r="H15" s="79" t="n">
        <f aca="false">'Operating Costs'!H$16</f>
        <v>410</v>
      </c>
      <c r="I15" s="79" t="n">
        <f aca="false">'Operating Costs'!I$16</f>
        <v>440</v>
      </c>
      <c r="J15" s="79" t="n">
        <f aca="false">'Operating Costs'!J$16</f>
        <v>470</v>
      </c>
      <c r="K15" s="79" t="n">
        <f aca="false">'Operating Costs'!K$16</f>
        <v>500</v>
      </c>
      <c r="L15" s="79" t="n">
        <f aca="false">'Operating Costs'!L$16</f>
        <v>530</v>
      </c>
    </row>
    <row r="16" customFormat="false" ht="15" hidden="false" customHeight="false" outlineLevel="0" collapsed="false">
      <c r="A16" s="7" t="s">
        <v>588</v>
      </c>
      <c r="B16" s="14" t="s">
        <v>162</v>
      </c>
      <c r="C16" s="79" t="n">
        <f aca="false">'Operating Costs'!C$17</f>
        <v>170</v>
      </c>
      <c r="D16" s="79" t="n">
        <f aca="false">'Operating Costs'!D$17</f>
        <v>175</v>
      </c>
      <c r="E16" s="79" t="n">
        <f aca="false">'Operating Costs'!E$17</f>
        <v>180</v>
      </c>
      <c r="F16" s="79" t="n">
        <f aca="false">'Operating Costs'!F$17</f>
        <v>185</v>
      </c>
      <c r="G16" s="79" t="n">
        <f aca="false">'Operating Costs'!G$17</f>
        <v>190</v>
      </c>
      <c r="H16" s="79" t="n">
        <f aca="false">'Operating Costs'!H$17</f>
        <v>200</v>
      </c>
      <c r="I16" s="79" t="n">
        <f aca="false">'Operating Costs'!I$17</f>
        <v>210</v>
      </c>
      <c r="J16" s="79" t="n">
        <f aca="false">'Operating Costs'!J$17</f>
        <v>220</v>
      </c>
      <c r="K16" s="79" t="n">
        <f aca="false">'Operating Costs'!K$17</f>
        <v>230</v>
      </c>
      <c r="L16" s="79" t="n">
        <f aca="false">'Operating Costs'!L$17</f>
        <v>240</v>
      </c>
    </row>
    <row r="17" customFormat="false" ht="15" hidden="false" customHeight="false" outlineLevel="0" collapsed="false">
      <c r="A17" s="7" t="s">
        <v>722</v>
      </c>
      <c r="B17" s="14" t="s">
        <v>162</v>
      </c>
      <c r="C17" s="79" t="n">
        <f aca="false">'Operating Costs'!C$18</f>
        <v>90</v>
      </c>
      <c r="D17" s="79" t="n">
        <f aca="false">'Operating Costs'!D$18</f>
        <v>100</v>
      </c>
      <c r="E17" s="79" t="n">
        <f aca="false">'Operating Costs'!E$18</f>
        <v>120</v>
      </c>
      <c r="F17" s="79" t="n">
        <f aca="false">'Operating Costs'!F$18</f>
        <v>140</v>
      </c>
      <c r="G17" s="79" t="n">
        <f aca="false">'Operating Costs'!G$18</f>
        <v>160</v>
      </c>
      <c r="H17" s="79" t="n">
        <f aca="false">'Operating Costs'!H$18</f>
        <v>172</v>
      </c>
      <c r="I17" s="79" t="n">
        <f aca="false">'Operating Costs'!I$18</f>
        <v>184</v>
      </c>
      <c r="J17" s="79" t="n">
        <f aca="false">'Operating Costs'!J$18</f>
        <v>196</v>
      </c>
      <c r="K17" s="79" t="n">
        <f aca="false">'Operating Costs'!K$18</f>
        <v>208</v>
      </c>
      <c r="L17" s="79" t="n">
        <f aca="false">'Operating Costs'!L$18</f>
        <v>220</v>
      </c>
    </row>
    <row r="18" customFormat="false" ht="15" hidden="false" customHeight="false" outlineLevel="0" collapsed="false">
      <c r="A18" s="35" t="s">
        <v>592</v>
      </c>
      <c r="B18" s="80" t="s">
        <v>162</v>
      </c>
      <c r="C18" s="67" t="n">
        <f aca="false">SUM(C9:C17)</f>
        <v>3399.68207276</v>
      </c>
      <c r="D18" s="67" t="n">
        <f aca="false">SUM(D9:D17)</f>
        <v>4594.83332246</v>
      </c>
      <c r="E18" s="67" t="n">
        <f aca="false">SUM(E9:E17)</f>
        <v>5795.56962939675</v>
      </c>
      <c r="F18" s="67" t="n">
        <f aca="false">SUM(F9:F17)</f>
        <v>6851.58468770747</v>
      </c>
      <c r="G18" s="67" t="n">
        <f aca="false">SUM(G9:G17)</f>
        <v>7961.63567609167</v>
      </c>
      <c r="H18" s="67" t="n">
        <f aca="false">SUM(H9:H17)</f>
        <v>8703.62134166439</v>
      </c>
      <c r="I18" s="67" t="n">
        <f aca="false">SUM(I9:I17)</f>
        <v>9377.71399346851</v>
      </c>
      <c r="J18" s="67" t="n">
        <f aca="false">SUM(J9:J17)</f>
        <v>10076.626371734</v>
      </c>
      <c r="K18" s="67" t="n">
        <f aca="false">SUM(K9:K17)</f>
        <v>10826.1186073694</v>
      </c>
      <c r="L18" s="67" t="n">
        <f aca="false">SUM(L9:L17)</f>
        <v>11616.9860033694</v>
      </c>
    </row>
    <row r="20" customFormat="false" ht="15" hidden="false" customHeight="false" outlineLevel="0" collapsed="false">
      <c r="A20" s="35" t="s">
        <v>594</v>
      </c>
      <c r="B20" s="80" t="s">
        <v>162</v>
      </c>
      <c r="C20" s="67" t="n">
        <f aca="false">C6-C18</f>
        <v>-386.36060876</v>
      </c>
      <c r="D20" s="67" t="n">
        <f aca="false">D6-D18</f>
        <v>517.57216254</v>
      </c>
      <c r="E20" s="67" t="n">
        <f aca="false">E6-E18</f>
        <v>1409.30936832075</v>
      </c>
      <c r="F20" s="67" t="n">
        <f aca="false">F6-F18</f>
        <v>2028.65082182417</v>
      </c>
      <c r="G20" s="67" t="n">
        <f aca="false">G6-G18</f>
        <v>2477.82306017938</v>
      </c>
      <c r="H20" s="67" t="n">
        <f aca="false">H6-H18</f>
        <v>2918.42820495664</v>
      </c>
      <c r="I20" s="67" t="n">
        <f aca="false">I6-I18</f>
        <v>3225.02646884253</v>
      </c>
      <c r="J20" s="67" t="n">
        <f aca="false">J6-J18</f>
        <v>3515.00326222168</v>
      </c>
      <c r="K20" s="67" t="n">
        <f aca="false">K6-K18</f>
        <v>3857.93009991592</v>
      </c>
      <c r="L20" s="67" t="n">
        <f aca="false">L6-L18</f>
        <v>4213.83058231209</v>
      </c>
    </row>
    <row r="21" customFormat="false" ht="15" hidden="false" customHeight="false" outlineLevel="0" collapsed="false">
      <c r="A21" s="7" t="s">
        <v>595</v>
      </c>
      <c r="B21" s="14" t="s">
        <v>129</v>
      </c>
      <c r="C21" s="87" t="n">
        <f aca="false">C20/C6</f>
        <v>-0.128217521222289</v>
      </c>
      <c r="D21" s="87" t="n">
        <f aca="false">D20/D6</f>
        <v>0.101238480409775</v>
      </c>
      <c r="E21" s="87" t="n">
        <f aca="false">E20/E6</f>
        <v>0.195604862866846</v>
      </c>
      <c r="F21" s="87" t="n">
        <f aca="false">F20/F6</f>
        <v>0.228445610439803</v>
      </c>
      <c r="G21" s="87" t="n">
        <f aca="false">G20/G6</f>
        <v>0.237351679122059</v>
      </c>
      <c r="H21" s="87" t="n">
        <f aca="false">H20/H6</f>
        <v>0.25111132018923</v>
      </c>
      <c r="I21" s="87" t="n">
        <f aca="false">I20/I6</f>
        <v>0.255898824425298</v>
      </c>
      <c r="J21" s="87" t="n">
        <f aca="false">J20/J6</f>
        <v>0.258615291682185</v>
      </c>
      <c r="K21" s="87" t="n">
        <f aca="false">K20/K6</f>
        <v>0.262729317834656</v>
      </c>
      <c r="L21" s="87" t="n">
        <f aca="false">L20/L6</f>
        <v>0.266178978166128</v>
      </c>
    </row>
    <row r="23" customFormat="false" ht="15" hidden="false" customHeight="false" outlineLevel="0" collapsed="false">
      <c r="A23" s="7" t="s">
        <v>723</v>
      </c>
      <c r="B23" s="14" t="s">
        <v>162</v>
      </c>
      <c r="C23" s="79" t="n">
        <f aca="false">Depreciation!C$18</f>
        <v>613.873461326675</v>
      </c>
      <c r="D23" s="79" t="n">
        <f aca="false">Depreciation!D$18</f>
        <v>613.873461326675</v>
      </c>
      <c r="E23" s="79" t="n">
        <f aca="false">Depreciation!E$18</f>
        <v>655.123461326675</v>
      </c>
      <c r="F23" s="79" t="n">
        <f aca="false">Depreciation!F$18</f>
        <v>669.53321932211</v>
      </c>
      <c r="G23" s="79" t="n">
        <f aca="false">Depreciation!G$18</f>
        <v>687.293690341174</v>
      </c>
      <c r="H23" s="79" t="n">
        <f aca="false">Depreciation!H$18</f>
        <v>618.172607813716</v>
      </c>
      <c r="I23" s="79" t="n">
        <f aca="false">Depreciation!I$18</f>
        <v>607.248811264605</v>
      </c>
      <c r="J23" s="79" t="n">
        <f aca="false">Depreciation!J$18</f>
        <v>632.454292189227</v>
      </c>
      <c r="K23" s="79" t="n">
        <f aca="false">Depreciation!K$18</f>
        <v>659.637551457138</v>
      </c>
      <c r="L23" s="79" t="n">
        <f aca="false">Depreciation!L$18</f>
        <v>689.005648871709</v>
      </c>
    </row>
    <row r="24" customFormat="false" ht="15" hidden="false" customHeight="false" outlineLevel="0" collapsed="false">
      <c r="A24" s="35" t="s">
        <v>724</v>
      </c>
      <c r="B24" s="80" t="s">
        <v>162</v>
      </c>
      <c r="C24" s="67" t="n">
        <f aca="false">C20-C23</f>
        <v>-1000.23407008667</v>
      </c>
      <c r="D24" s="67" t="n">
        <f aca="false">D20-D23</f>
        <v>-96.3012987866752</v>
      </c>
      <c r="E24" s="67" t="n">
        <f aca="false">E20-E23</f>
        <v>754.185906994074</v>
      </c>
      <c r="F24" s="67" t="n">
        <f aca="false">F20-F23</f>
        <v>1359.11760250206</v>
      </c>
      <c r="G24" s="67" t="n">
        <f aca="false">G20-G23</f>
        <v>1790.5293698382</v>
      </c>
      <c r="H24" s="67" t="n">
        <f aca="false">H20-H23</f>
        <v>2300.25559714293</v>
      </c>
      <c r="I24" s="67" t="n">
        <f aca="false">I20-I23</f>
        <v>2617.77765757792</v>
      </c>
      <c r="J24" s="67" t="n">
        <f aca="false">J20-J23</f>
        <v>2882.54897003246</v>
      </c>
      <c r="K24" s="67" t="n">
        <f aca="false">K20-K23</f>
        <v>3198.29254845879</v>
      </c>
      <c r="L24" s="67" t="n">
        <f aca="false">L20-L23</f>
        <v>3524.82493344038</v>
      </c>
    </row>
    <row r="25" customFormat="false" ht="15" hidden="false" customHeight="false" outlineLevel="0" collapsed="false">
      <c r="A25" s="7" t="s">
        <v>725</v>
      </c>
      <c r="B25" s="14" t="s">
        <v>129</v>
      </c>
      <c r="C25" s="87" t="n">
        <f aca="false">C24/C6</f>
        <v>-0.331937392686582</v>
      </c>
      <c r="D25" s="87" t="n">
        <f aca="false">D24/D6</f>
        <v>-0.0188367880969589</v>
      </c>
      <c r="E25" s="87" t="n">
        <f aca="false">E24/E6</f>
        <v>0.10467710939115</v>
      </c>
      <c r="F25" s="87" t="n">
        <f aca="false">F24/F6</f>
        <v>0.153049724981195</v>
      </c>
      <c r="G25" s="87" t="n">
        <f aca="false">G24/G6</f>
        <v>0.171515536875217</v>
      </c>
      <c r="H25" s="87" t="n">
        <f aca="false">H24/H6</f>
        <v>0.197921682222711</v>
      </c>
      <c r="I25" s="87" t="n">
        <f aca="false">I24/I6</f>
        <v>0.207714954172585</v>
      </c>
      <c r="J25" s="87" t="n">
        <f aca="false">J24/J6</f>
        <v>0.212082660259594</v>
      </c>
      <c r="K25" s="87" t="n">
        <f aca="false">K24/K6</f>
        <v>0.217807269113184</v>
      </c>
      <c r="L25" s="87" t="n">
        <f aca="false">L24/L6</f>
        <v>0.222655913822442</v>
      </c>
    </row>
    <row r="27" customFormat="false" ht="15" hidden="false" customHeight="false" outlineLevel="0" collapsed="false">
      <c r="A27" s="7" t="s">
        <v>726</v>
      </c>
      <c r="B27" s="14" t="s">
        <v>162</v>
      </c>
      <c r="C27" s="79" t="n">
        <f aca="false">'Debt Schedule'!C$22</f>
        <v>869.807490633622</v>
      </c>
      <c r="D27" s="79" t="n">
        <f aca="false">'Debt Schedule'!D$22</f>
        <v>890.507490633622</v>
      </c>
      <c r="E27" s="79" t="n">
        <f aca="false">'Debt Schedule'!E$22</f>
        <v>906.032490633622</v>
      </c>
      <c r="F27" s="79" t="n">
        <f aca="false">'Debt Schedule'!F$22</f>
        <v>886.200015914613</v>
      </c>
      <c r="G27" s="79" t="n">
        <f aca="false">'Debt Schedule'!G$22</f>
        <v>824.688416663923</v>
      </c>
      <c r="H27" s="79" t="n">
        <f aca="false">'Debt Schedule'!H$22</f>
        <v>728.826430241057</v>
      </c>
      <c r="I27" s="79" t="n">
        <f aca="false">'Debt Schedule'!I$22</f>
        <v>612.12488155235</v>
      </c>
      <c r="J27" s="79" t="n">
        <f aca="false">'Debt Schedule'!J$22</f>
        <v>478.75168305097</v>
      </c>
      <c r="K27" s="79" t="n">
        <f aca="false">'Debt Schedule'!K$22</f>
        <v>328.706834736918</v>
      </c>
      <c r="L27" s="79" t="n">
        <f aca="false">'Debt Schedule'!L$22</f>
        <v>166.158249063362</v>
      </c>
    </row>
    <row r="28" customFormat="false" ht="15" hidden="false" customHeight="false" outlineLevel="0" collapsed="false">
      <c r="A28" s="35" t="s">
        <v>727</v>
      </c>
      <c r="B28" s="80" t="s">
        <v>162</v>
      </c>
      <c r="C28" s="67" t="n">
        <f aca="false">C24-C27</f>
        <v>-1870.0415607203</v>
      </c>
      <c r="D28" s="67" t="n">
        <f aca="false">D24-D27</f>
        <v>-986.808789420297</v>
      </c>
      <c r="E28" s="67" t="n">
        <f aca="false">E24-E27</f>
        <v>-151.846583639548</v>
      </c>
      <c r="F28" s="67" t="n">
        <f aca="false">F24-F27</f>
        <v>472.917586587448</v>
      </c>
      <c r="G28" s="67" t="n">
        <f aca="false">G24-G27</f>
        <v>965.840953174278</v>
      </c>
      <c r="H28" s="67" t="n">
        <f aca="false">H24-H27</f>
        <v>1571.42916690187</v>
      </c>
      <c r="I28" s="67" t="n">
        <f aca="false">I24-I27</f>
        <v>2005.65277602557</v>
      </c>
      <c r="J28" s="67" t="n">
        <f aca="false">J24-J27</f>
        <v>2403.79728698149</v>
      </c>
      <c r="K28" s="67" t="n">
        <f aca="false">K24-K27</f>
        <v>2869.58571372187</v>
      </c>
      <c r="L28" s="67" t="n">
        <f aca="false">L24-L27</f>
        <v>3358.66668437702</v>
      </c>
    </row>
    <row r="30" customFormat="false" ht="15" hidden="false" customHeight="false" outlineLevel="0" collapsed="false">
      <c r="A30" s="8" t="s">
        <v>728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</row>
    <row r="31" customFormat="false" ht="15" hidden="false" customHeight="false" outlineLevel="0" collapsed="false">
      <c r="A31" s="7" t="s">
        <v>729</v>
      </c>
      <c r="B31" s="14" t="s">
        <v>162</v>
      </c>
      <c r="C31" s="81" t="n">
        <f aca="false">0</f>
        <v>0</v>
      </c>
      <c r="D31" s="81" t="n">
        <f aca="false">C33</f>
        <v>-1870.0415607203</v>
      </c>
      <c r="E31" s="81" t="n">
        <f aca="false">D33</f>
        <v>-2856.85035014059</v>
      </c>
      <c r="F31" s="81" t="n">
        <f aca="false">E33</f>
        <v>-3008.69693378014</v>
      </c>
      <c r="G31" s="81" t="n">
        <f aca="false">F33</f>
        <v>-2535.77934719269</v>
      </c>
      <c r="H31" s="81" t="n">
        <f aca="false">G33</f>
        <v>-1569.93839401842</v>
      </c>
      <c r="I31" s="81" t="n">
        <f aca="false">H33</f>
        <v>0</v>
      </c>
      <c r="J31" s="81" t="n">
        <f aca="false">I33</f>
        <v>0</v>
      </c>
      <c r="K31" s="81" t="n">
        <f aca="false">J33</f>
        <v>0</v>
      </c>
      <c r="L31" s="81" t="n">
        <f aca="false">K33</f>
        <v>0</v>
      </c>
    </row>
    <row r="32" customFormat="false" ht="15" hidden="false" customHeight="false" outlineLevel="0" collapsed="false">
      <c r="A32" s="7" t="s">
        <v>730</v>
      </c>
      <c r="B32" s="14" t="s">
        <v>162</v>
      </c>
      <c r="C32" s="81" t="n">
        <f aca="false">MAX(C28+C31,0)</f>
        <v>0</v>
      </c>
      <c r="D32" s="81" t="n">
        <f aca="false">MAX(D28+D31,0)</f>
        <v>0</v>
      </c>
      <c r="E32" s="81" t="n">
        <f aca="false">MAX(E28+E31,0)</f>
        <v>0</v>
      </c>
      <c r="F32" s="81" t="n">
        <f aca="false">MAX(F28+F31,0)</f>
        <v>0</v>
      </c>
      <c r="G32" s="81" t="n">
        <f aca="false">MAX(G28+G31,0)</f>
        <v>0</v>
      </c>
      <c r="H32" s="81" t="n">
        <f aca="false">MAX(H28+H31,0)</f>
        <v>1.49077288345688</v>
      </c>
      <c r="I32" s="81" t="n">
        <f aca="false">MAX(I28+I31,0)</f>
        <v>2005.65277602557</v>
      </c>
      <c r="J32" s="81" t="n">
        <f aca="false">MAX(J28+J31,0)</f>
        <v>2403.79728698149</v>
      </c>
      <c r="K32" s="81" t="n">
        <f aca="false">MAX(K28+K31,0)</f>
        <v>2869.58571372187</v>
      </c>
      <c r="L32" s="81" t="n">
        <f aca="false">MAX(L28+L31,0)</f>
        <v>3358.66668437702</v>
      </c>
    </row>
    <row r="33" customFormat="false" ht="15" hidden="false" customHeight="false" outlineLevel="0" collapsed="false">
      <c r="A33" s="7" t="s">
        <v>731</v>
      </c>
      <c r="B33" s="14" t="s">
        <v>162</v>
      </c>
      <c r="C33" s="81" t="n">
        <f aca="false">MIN(C28+C31,0)</f>
        <v>-1870.0415607203</v>
      </c>
      <c r="D33" s="81" t="n">
        <f aca="false">MIN(D28+D31,0)</f>
        <v>-2856.85035014059</v>
      </c>
      <c r="E33" s="81" t="n">
        <f aca="false">MIN(E28+E31,0)</f>
        <v>-3008.69693378014</v>
      </c>
      <c r="F33" s="81" t="n">
        <f aca="false">MIN(F28+F31,0)</f>
        <v>-2535.77934719269</v>
      </c>
      <c r="G33" s="81" t="n">
        <f aca="false">MIN(G28+G31,0)</f>
        <v>-1569.93839401842</v>
      </c>
      <c r="H33" s="81" t="n">
        <f aca="false">MIN(H28+H31,0)</f>
        <v>0</v>
      </c>
      <c r="I33" s="81" t="n">
        <f aca="false">MIN(I28+I31,0)</f>
        <v>0</v>
      </c>
      <c r="J33" s="81" t="n">
        <f aca="false">MIN(J28+J31,0)</f>
        <v>0</v>
      </c>
      <c r="K33" s="81" t="n">
        <f aca="false">MIN(K28+K31,0)</f>
        <v>0</v>
      </c>
      <c r="L33" s="81" t="n">
        <f aca="false">MIN(L28+L31,0)</f>
        <v>0</v>
      </c>
    </row>
    <row r="34" customFormat="false" ht="15" hidden="false" customHeight="false" outlineLevel="0" collapsed="false">
      <c r="A34" s="7" t="s">
        <v>732</v>
      </c>
      <c r="B34" s="14" t="s">
        <v>162</v>
      </c>
      <c r="C34" s="81" t="n">
        <f aca="false">C32*Assumptions!$C$98</f>
        <v>0</v>
      </c>
      <c r="D34" s="81" t="n">
        <f aca="false">D32*Assumptions!$C$98</f>
        <v>0</v>
      </c>
      <c r="E34" s="81" t="n">
        <f aca="false">E32*Assumptions!$C$98</f>
        <v>0</v>
      </c>
      <c r="F34" s="81" t="n">
        <f aca="false">F32*Assumptions!$C$98</f>
        <v>0</v>
      </c>
      <c r="G34" s="81" t="n">
        <f aca="false">G32*Assumptions!$C$98</f>
        <v>0</v>
      </c>
      <c r="H34" s="81" t="n">
        <f aca="false">H32*Assumptions!$C$98</f>
        <v>0.375197719308429</v>
      </c>
      <c r="I34" s="81" t="n">
        <f aca="false">I32*Assumptions!$C$98</f>
        <v>504.782690670117</v>
      </c>
      <c r="J34" s="81" t="n">
        <f aca="false">J32*Assumptions!$C$98</f>
        <v>604.9877011875</v>
      </c>
      <c r="K34" s="81" t="n">
        <f aca="false">K32*Assumptions!$C$98</f>
        <v>722.21733242952</v>
      </c>
      <c r="L34" s="81" t="n">
        <f aca="false">L32*Assumptions!$C$98</f>
        <v>845.309231124009</v>
      </c>
    </row>
    <row r="35" customFormat="false" ht="15" hidden="false" customHeight="false" outlineLevel="0" collapsed="false">
      <c r="A35" s="7" t="s">
        <v>733</v>
      </c>
      <c r="B35" s="14" t="s">
        <v>129</v>
      </c>
      <c r="C35" s="87" t="n">
        <f aca="false">IFERROR(IF(C28&gt;0,C34/C28,0),0)</f>
        <v>0</v>
      </c>
      <c r="D35" s="87" t="n">
        <f aca="false">IFERROR(IF(D28&gt;0,D34/D28,0),0)</f>
        <v>0</v>
      </c>
      <c r="E35" s="87" t="n">
        <f aca="false">IFERROR(IF(E28&gt;0,E34/E28,0),0)</f>
        <v>0</v>
      </c>
      <c r="F35" s="87" t="n">
        <f aca="false">IFERROR(IF(F28&gt;0,F34/F28,0),0)</f>
        <v>0</v>
      </c>
      <c r="G35" s="87" t="n">
        <f aca="false">IFERROR(IF(G28&gt;0,G34/G28,0),0)</f>
        <v>0</v>
      </c>
      <c r="H35" s="87" t="n">
        <f aca="false">IFERROR(IF(H28&gt;0,H34/H28,0),0)</f>
        <v>0.00023876209453853</v>
      </c>
      <c r="I35" s="87" t="n">
        <f aca="false">IFERROR(IF(I28&gt;0,I34/I28,0),0)</f>
        <v>0.25168</v>
      </c>
      <c r="J35" s="87" t="n">
        <f aca="false">IFERROR(IF(J28&gt;0,J34/J28,0),0)</f>
        <v>0.25168</v>
      </c>
      <c r="K35" s="87" t="n">
        <f aca="false">IFERROR(IF(K28&gt;0,K34/K28,0),0)</f>
        <v>0.25168</v>
      </c>
      <c r="L35" s="87" t="n">
        <f aca="false">IFERROR(IF(L28&gt;0,L34/L28,0),0)</f>
        <v>0.25168</v>
      </c>
    </row>
    <row r="37" customFormat="false" ht="15" hidden="false" customHeight="false" outlineLevel="0" collapsed="false">
      <c r="A37" s="19" t="s">
        <v>734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</row>
    <row r="38" customFormat="false" ht="15" hidden="false" customHeight="false" outlineLevel="0" collapsed="false">
      <c r="A38" s="35" t="s">
        <v>735</v>
      </c>
      <c r="B38" s="80" t="s">
        <v>162</v>
      </c>
      <c r="C38" s="67" t="n">
        <f aca="false">C28-C34</f>
        <v>-1870.0415607203</v>
      </c>
      <c r="D38" s="67" t="n">
        <f aca="false">D28-D34</f>
        <v>-986.808789420297</v>
      </c>
      <c r="E38" s="67" t="n">
        <f aca="false">E28-E34</f>
        <v>-151.846583639548</v>
      </c>
      <c r="F38" s="67" t="n">
        <f aca="false">F28-F34</f>
        <v>472.917586587448</v>
      </c>
      <c r="G38" s="67" t="n">
        <f aca="false">G28-G34</f>
        <v>965.840953174278</v>
      </c>
      <c r="H38" s="67" t="n">
        <f aca="false">H28-H34</f>
        <v>1571.05396918256</v>
      </c>
      <c r="I38" s="67" t="n">
        <f aca="false">I28-I34</f>
        <v>1500.87008535546</v>
      </c>
      <c r="J38" s="67" t="n">
        <f aca="false">J28-J34</f>
        <v>1798.80958579398</v>
      </c>
      <c r="K38" s="67" t="n">
        <f aca="false">K28-K34</f>
        <v>2147.36838129235</v>
      </c>
      <c r="L38" s="67" t="n">
        <f aca="false">L28-L34</f>
        <v>2513.35745325301</v>
      </c>
    </row>
    <row r="39" customFormat="false" ht="15" hidden="false" customHeight="false" outlineLevel="0" collapsed="false">
      <c r="A39" s="6" t="s">
        <v>736</v>
      </c>
      <c r="B39" s="14" t="s">
        <v>129</v>
      </c>
      <c r="C39" s="55" t="n">
        <f aca="false">C38/C6</f>
        <v>-0.620591457984682</v>
      </c>
      <c r="D39" s="55" t="n">
        <f aca="false">D38/D6</f>
        <v>-0.193022402529618</v>
      </c>
      <c r="E39" s="55" t="n">
        <f aca="false">E38/E6</f>
        <v>-0.0210755216968464</v>
      </c>
      <c r="F39" s="55" t="n">
        <f aca="false">F38/F6</f>
        <v>0.0532550725799828</v>
      </c>
      <c r="G39" s="55" t="n">
        <f aca="false">G38/G6</f>
        <v>0.0925182978901524</v>
      </c>
      <c r="H39" s="55" t="n">
        <f aca="false">H38/H6</f>
        <v>0.135178736149798</v>
      </c>
      <c r="I39" s="55" t="n">
        <f aca="false">I38/I6</f>
        <v>0.119090771554319</v>
      </c>
      <c r="J39" s="55" t="n">
        <f aca="false">J38/J6</f>
        <v>0.132346865993174</v>
      </c>
      <c r="K39" s="55" t="n">
        <f aca="false">K38/K6</f>
        <v>0.146238167967051</v>
      </c>
      <c r="L39" s="55" t="n">
        <f aca="false">L38/L6</f>
        <v>0.158763601337297</v>
      </c>
    </row>
    <row r="40" customFormat="false" ht="15" hidden="false" customHeight="false" outlineLevel="0" collapsed="false">
      <c r="A40" s="7" t="s">
        <v>737</v>
      </c>
      <c r="B40" s="14" t="s">
        <v>162</v>
      </c>
      <c r="C40" s="81" t="n">
        <f aca="false">C38</f>
        <v>-1870.0415607203</v>
      </c>
      <c r="D40" s="81" t="n">
        <f aca="false">C40+D38</f>
        <v>-2856.85035014059</v>
      </c>
      <c r="E40" s="81" t="n">
        <f aca="false">D40+E38</f>
        <v>-3008.69693378014</v>
      </c>
      <c r="F40" s="81" t="n">
        <f aca="false">E40+F38</f>
        <v>-2535.77934719269</v>
      </c>
      <c r="G40" s="81" t="n">
        <f aca="false">F40+G38</f>
        <v>-1569.93839401842</v>
      </c>
      <c r="H40" s="81" t="n">
        <f aca="false">G40+H38</f>
        <v>1.11557516414837</v>
      </c>
      <c r="I40" s="81" t="n">
        <f aca="false">H40+I38</f>
        <v>1501.98566051961</v>
      </c>
      <c r="J40" s="81" t="n">
        <f aca="false">I40+J38</f>
        <v>3300.79524631359</v>
      </c>
      <c r="K40" s="81" t="n">
        <f aca="false">J40+K38</f>
        <v>5448.16362760594</v>
      </c>
      <c r="L40" s="81" t="n">
        <f aca="false">K40+L38</f>
        <v>7961.52108085895</v>
      </c>
    </row>
    <row r="42" customFormat="false" ht="15" hidden="false" customHeight="false" outlineLevel="0" collapsed="false">
      <c r="A42" s="8" t="s">
        <v>738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</row>
    <row r="43" customFormat="false" ht="15" hidden="false" customHeight="false" outlineLevel="0" collapsed="false">
      <c r="A43" s="7" t="s">
        <v>718</v>
      </c>
      <c r="B43" s="14" t="s">
        <v>129</v>
      </c>
      <c r="C43" s="87" t="n">
        <f aca="false">C9/C6</f>
        <v>0.0971413569833451</v>
      </c>
      <c r="D43" s="87" t="n">
        <f aca="false">D9/D6</f>
        <v>0.0971777497633289</v>
      </c>
      <c r="E43" s="87" t="n">
        <f aca="false">E9/E6</f>
        <v>0.0967614890052398</v>
      </c>
      <c r="F43" s="87" t="n">
        <f aca="false">F9/F6</f>
        <v>0.0965004654206957</v>
      </c>
      <c r="G43" s="87" t="n">
        <f aca="false">G9/G6</f>
        <v>0.0962648888722265</v>
      </c>
      <c r="H43" s="87" t="n">
        <f aca="false">H9/H6</f>
        <v>0.0960497168178758</v>
      </c>
      <c r="I43" s="87" t="n">
        <f aca="false">I9/I6</f>
        <v>0.0955544456653231</v>
      </c>
      <c r="J43" s="87" t="n">
        <f aca="false">J9/J6</f>
        <v>0.095415260552395</v>
      </c>
      <c r="K43" s="87" t="n">
        <f aca="false">K9/K6</f>
        <v>0.0951010545944847</v>
      </c>
      <c r="L43" s="87" t="n">
        <f aca="false">L9/L6</f>
        <v>0.0949814422179195</v>
      </c>
    </row>
    <row r="44" customFormat="false" ht="15" hidden="false" customHeight="false" outlineLevel="0" collapsed="false">
      <c r="A44" s="7" t="s">
        <v>739</v>
      </c>
      <c r="B44" s="14" t="s">
        <v>129</v>
      </c>
      <c r="C44" s="87" t="n">
        <f aca="false">C10/C6</f>
        <v>0.23</v>
      </c>
      <c r="D44" s="87" t="n">
        <f aca="false">D10/D6</f>
        <v>0.23</v>
      </c>
      <c r="E44" s="87" t="n">
        <f aca="false">E10/E6</f>
        <v>0.23</v>
      </c>
      <c r="F44" s="87" t="n">
        <f aca="false">F10/F6</f>
        <v>0.23</v>
      </c>
      <c r="G44" s="87" t="n">
        <f aca="false">G10/G6</f>
        <v>0.23</v>
      </c>
      <c r="H44" s="87" t="n">
        <f aca="false">H10/H6</f>
        <v>0.23</v>
      </c>
      <c r="I44" s="87" t="n">
        <f aca="false">I10/I6</f>
        <v>0.23</v>
      </c>
      <c r="J44" s="87" t="n">
        <f aca="false">J10/J6</f>
        <v>0.23</v>
      </c>
      <c r="K44" s="87" t="n">
        <f aca="false">K10/K6</f>
        <v>0.23</v>
      </c>
      <c r="L44" s="87" t="n">
        <f aca="false">L10/L6</f>
        <v>0.23</v>
      </c>
    </row>
    <row r="45" customFormat="false" ht="15" hidden="false" customHeight="false" outlineLevel="0" collapsed="false">
      <c r="A45" s="7" t="s">
        <v>740</v>
      </c>
      <c r="B45" s="14" t="s">
        <v>129</v>
      </c>
      <c r="C45" s="87" t="n">
        <f aca="false">C11/C6</f>
        <v>0.495765227124802</v>
      </c>
      <c r="D45" s="87" t="n">
        <f aca="false">D11/D6</f>
        <v>0.36326696023017</v>
      </c>
      <c r="E45" s="87" t="n">
        <f aca="false">E11/E6</f>
        <v>0.297894335308052</v>
      </c>
      <c r="F45" s="87" t="n">
        <f aca="false">F11/F6</f>
        <v>0.271072051886038</v>
      </c>
      <c r="G45" s="87" t="n">
        <f aca="false">G11/G6</f>
        <v>0.253423754856567</v>
      </c>
      <c r="H45" s="87" t="n">
        <f aca="false">H11/H6</f>
        <v>0.245847805645949</v>
      </c>
      <c r="I45" s="87" t="n">
        <f aca="false">I11/I6</f>
        <v>0.244854348752576</v>
      </c>
      <c r="J45" s="87" t="n">
        <f aca="false">J11/J6</f>
        <v>0.245202581502268</v>
      </c>
      <c r="K45" s="87" t="n">
        <f aca="false">K11/K6</f>
        <v>0.245117607457158</v>
      </c>
      <c r="L45" s="87" t="n">
        <f aca="false">L11/L6</f>
        <v>0.245550466511196</v>
      </c>
    </row>
    <row r="46" customFormat="false" ht="15" hidden="false" customHeight="false" outlineLevel="0" collapsed="false">
      <c r="A46" s="7" t="s">
        <v>584</v>
      </c>
      <c r="B46" s="14" t="s">
        <v>129</v>
      </c>
      <c r="C46" s="87" t="n">
        <f aca="false">C12/C6</f>
        <v>0.0663719428509006</v>
      </c>
      <c r="D46" s="87" t="n">
        <f aca="false">D12/D6</f>
        <v>0.0489006595297478</v>
      </c>
      <c r="E46" s="87" t="n">
        <f aca="false">E12/E6</f>
        <v>0.0430263992078434</v>
      </c>
      <c r="F46" s="87" t="n">
        <f aca="false">F12/F6</f>
        <v>0.0427916579005281</v>
      </c>
      <c r="G46" s="87" t="n">
        <f aca="false">G12/G6</f>
        <v>0.0440635871668105</v>
      </c>
      <c r="H46" s="87" t="n">
        <f aca="false">H12/H6</f>
        <v>0.0430216716934724</v>
      </c>
      <c r="I46" s="87" t="n">
        <f aca="false">I12/I6</f>
        <v>0.0420543453691667</v>
      </c>
      <c r="J46" s="87" t="n">
        <f aca="false">J12/J6</f>
        <v>0.0412018289992956</v>
      </c>
      <c r="K46" s="87" t="n">
        <f aca="false">K12/K6</f>
        <v>0.040179654246671</v>
      </c>
      <c r="L46" s="87" t="n">
        <f aca="false">L12/L6</f>
        <v>0.0391641199709667</v>
      </c>
    </row>
    <row r="47" customFormat="false" ht="15" hidden="false" customHeight="false" outlineLevel="0" collapsed="false">
      <c r="A47" s="7" t="s">
        <v>585</v>
      </c>
      <c r="B47" s="14" t="s">
        <v>129</v>
      </c>
      <c r="C47" s="87" t="n">
        <f aca="false">C13/C6</f>
        <v>0.061394047137083</v>
      </c>
      <c r="D47" s="87" t="n">
        <f aca="false">D13/D6</f>
        <v>0.0420545671955831</v>
      </c>
      <c r="E47" s="87" t="n">
        <f aca="false">E13/E6</f>
        <v>0.0367806315808984</v>
      </c>
      <c r="F47" s="87" t="n">
        <f aca="false">F13/F6</f>
        <v>0.0337828878162064</v>
      </c>
      <c r="G47" s="87" t="n">
        <f aca="false">G13/G6</f>
        <v>0.0402319708914356</v>
      </c>
      <c r="H47" s="87" t="n">
        <f aca="false">H13/H6</f>
        <v>0.0382892878071904</v>
      </c>
      <c r="I47" s="87" t="n">
        <f aca="false">I13/I6</f>
        <v>0.0372934760820912</v>
      </c>
      <c r="J47" s="87" t="n">
        <f aca="false">J13/J6</f>
        <v>0.0364194738475916</v>
      </c>
      <c r="K47" s="87" t="n">
        <f aca="false">K13/K6</f>
        <v>0.0354125766241846</v>
      </c>
      <c r="L47" s="87" t="n">
        <f aca="false">L13/L6</f>
        <v>0.0344265248131885</v>
      </c>
    </row>
    <row r="48" customFormat="false" ht="15" hidden="false" customHeight="false" outlineLevel="0" collapsed="false">
      <c r="A48" s="7" t="s">
        <v>586</v>
      </c>
      <c r="B48" s="14" t="s">
        <v>129</v>
      </c>
      <c r="C48" s="87" t="n">
        <f aca="false">C14/C6</f>
        <v>0.0398231657105403</v>
      </c>
      <c r="D48" s="87" t="n">
        <f aca="false">D14/D6</f>
        <v>0.0283623825272537</v>
      </c>
      <c r="E48" s="87" t="n">
        <f aca="false">E14/E6</f>
        <v>0.0263710188693234</v>
      </c>
      <c r="F48" s="87" t="n">
        <f aca="false">F14/F6</f>
        <v>0.0270263102529651</v>
      </c>
      <c r="G48" s="87" t="n">
        <f aca="false">G14/G6</f>
        <v>0.0287371220653112</v>
      </c>
      <c r="H48" s="87" t="n">
        <f aca="false">H14/H6</f>
        <v>0.0283943033176918</v>
      </c>
      <c r="I48" s="87" t="n">
        <f aca="false">I14/I6</f>
        <v>0.0281684766151966</v>
      </c>
      <c r="J48" s="87" t="n">
        <f aca="false">J14/J6</f>
        <v>0.0279583839638077</v>
      </c>
      <c r="K48" s="87" t="n">
        <f aca="false">K14/K6</f>
        <v>0.0275809491015284</v>
      </c>
      <c r="L48" s="87" t="n">
        <f aca="false">L14/L6</f>
        <v>0.0271622122379285</v>
      </c>
    </row>
    <row r="49" customFormat="false" ht="15" hidden="false" customHeight="false" outlineLevel="0" collapsed="false">
      <c r="A49" s="7" t="s">
        <v>741</v>
      </c>
      <c r="B49" s="14" t="s">
        <v>129</v>
      </c>
      <c r="C49" s="87" t="n">
        <f aca="false">C15/C6</f>
        <v>0.0514382557094479</v>
      </c>
      <c r="D49" s="87" t="n">
        <f aca="false">D15/D6</f>
        <v>0.0352084748614184</v>
      </c>
      <c r="E49" s="87" t="n">
        <f aca="false">E15/E6</f>
        <v>0.0319228123154967</v>
      </c>
      <c r="F49" s="87" t="n">
        <f aca="false">F15/F6</f>
        <v>0.0337828878162064</v>
      </c>
      <c r="G49" s="87" t="n">
        <f aca="false">G15/G6</f>
        <v>0.0364003546160608</v>
      </c>
      <c r="H49" s="87" t="n">
        <f aca="false">H15/H6</f>
        <v>0.0352777707886474</v>
      </c>
      <c r="I49" s="87" t="n">
        <f aca="false">I15/I6</f>
        <v>0.0349130414385535</v>
      </c>
      <c r="J49" s="87" t="n">
        <f aca="false">J15/J6</f>
        <v>0.0345801064815516</v>
      </c>
      <c r="K49" s="87" t="n">
        <f aca="false">K15/K6</f>
        <v>0.0340505544463314</v>
      </c>
      <c r="L49" s="87" t="n">
        <f aca="false">L15/L6</f>
        <v>0.0334790057816328</v>
      </c>
    </row>
    <row r="50" customFormat="false" ht="15" hidden="false" customHeight="false" outlineLevel="0" collapsed="false">
      <c r="A50" s="7" t="s">
        <v>742</v>
      </c>
      <c r="B50" s="14" t="s">
        <v>129</v>
      </c>
      <c r="C50" s="87" t="n">
        <f aca="false">C16/C6</f>
        <v>0.0564161514232655</v>
      </c>
      <c r="D50" s="87" t="n">
        <f aca="false">D16/D6</f>
        <v>0.0342304616708234</v>
      </c>
      <c r="E50" s="87" t="n">
        <f aca="false">E16/E6</f>
        <v>0.0249830705077801</v>
      </c>
      <c r="F50" s="87" t="n">
        <f aca="false">F16/F6</f>
        <v>0.020832780819994</v>
      </c>
      <c r="G50" s="87" t="n">
        <f aca="false">G16/G6</f>
        <v>0.0182001773080304</v>
      </c>
      <c r="H50" s="87" t="n">
        <f aca="false">H16/H6</f>
        <v>0.017208668677389</v>
      </c>
      <c r="I50" s="87" t="n">
        <f aca="false">I16/I6</f>
        <v>0.0166630425047642</v>
      </c>
      <c r="J50" s="87" t="n">
        <f aca="false">J16/J6</f>
        <v>0.0161864328211518</v>
      </c>
      <c r="K50" s="87" t="n">
        <f aca="false">K16/K6</f>
        <v>0.0156632550453124</v>
      </c>
      <c r="L50" s="87" t="n">
        <f aca="false">L16/L6</f>
        <v>0.0151603045048903</v>
      </c>
    </row>
    <row r="51" customFormat="false" ht="15" hidden="false" customHeight="false" outlineLevel="0" collapsed="false">
      <c r="A51" s="7" t="s">
        <v>743</v>
      </c>
      <c r="B51" s="14" t="s">
        <v>129</v>
      </c>
      <c r="C51" s="87" t="n">
        <f aca="false">C17/C6</f>
        <v>0.0298673742829053</v>
      </c>
      <c r="D51" s="87" t="n">
        <f aca="false">D17/D6</f>
        <v>0.0195602638118991</v>
      </c>
      <c r="E51" s="87" t="n">
        <f aca="false">E17/E6</f>
        <v>0.01665538033852</v>
      </c>
      <c r="F51" s="87" t="n">
        <f aca="false">F17/F6</f>
        <v>0.015765347647563</v>
      </c>
      <c r="G51" s="87" t="n">
        <f aca="false">G17/G6</f>
        <v>0.0153264651014993</v>
      </c>
      <c r="H51" s="87" t="n">
        <f aca="false">H17/H6</f>
        <v>0.0147994550625545</v>
      </c>
      <c r="I51" s="87" t="n">
        <f aca="false">I17/I6</f>
        <v>0.0145999991470315</v>
      </c>
      <c r="J51" s="87" t="n">
        <f aca="false">J17/J6</f>
        <v>0.0144206401497534</v>
      </c>
      <c r="K51" s="87" t="n">
        <f aca="false">K17/K6</f>
        <v>0.0141650306496738</v>
      </c>
      <c r="L51" s="87" t="n">
        <f aca="false">L17/L6</f>
        <v>0.0138969457961495</v>
      </c>
    </row>
    <row r="52" customFormat="false" ht="15" hidden="false" customHeight="false" outlineLevel="0" collapsed="false">
      <c r="A52" s="7" t="s">
        <v>744</v>
      </c>
      <c r="B52" s="14" t="s">
        <v>129</v>
      </c>
      <c r="C52" s="87" t="n">
        <f aca="false">C23/C6</f>
        <v>0.203719871464293</v>
      </c>
      <c r="D52" s="87" t="n">
        <f aca="false">D23/D6</f>
        <v>0.120075268506734</v>
      </c>
      <c r="E52" s="87" t="n">
        <f aca="false">E23/E6</f>
        <v>0.0909277534756958</v>
      </c>
      <c r="F52" s="87" t="n">
        <f aca="false">F23/F6</f>
        <v>0.0753958854586079</v>
      </c>
      <c r="G52" s="87" t="n">
        <f aca="false">G23/G6</f>
        <v>0.0658361422468416</v>
      </c>
      <c r="H52" s="87" t="n">
        <f aca="false">H23/H6</f>
        <v>0.0531896379665187</v>
      </c>
      <c r="I52" s="87" t="n">
        <f aca="false">I23/I6</f>
        <v>0.0481838702527125</v>
      </c>
      <c r="J52" s="87" t="n">
        <f aca="false">J23/J6</f>
        <v>0.0465326314225912</v>
      </c>
      <c r="K52" s="87" t="n">
        <f aca="false">K23/K6</f>
        <v>0.044922048721472</v>
      </c>
      <c r="L52" s="87" t="n">
        <f aca="false">L23/L6</f>
        <v>0.0435230643436861</v>
      </c>
    </row>
    <row r="53" customFormat="false" ht="15" hidden="false" customHeight="false" outlineLevel="0" collapsed="false">
      <c r="A53" s="7" t="s">
        <v>745</v>
      </c>
      <c r="B53" s="14" t="s">
        <v>129</v>
      </c>
      <c r="C53" s="87" t="n">
        <f aca="false">C27/C6</f>
        <v>0.2886540652981</v>
      </c>
      <c r="D53" s="87" t="n">
        <f aca="false">D27/D6</f>
        <v>0.174185614432659</v>
      </c>
      <c r="E53" s="87" t="n">
        <f aca="false">E27/E6</f>
        <v>0.125752631087996</v>
      </c>
      <c r="F53" s="87" t="n">
        <f aca="false">F27/F6</f>
        <v>0.0997946524012123</v>
      </c>
      <c r="G53" s="87" t="n">
        <f aca="false">G27/G6</f>
        <v>0.0789972389850645</v>
      </c>
      <c r="H53" s="87" t="n">
        <f aca="false">H27/H6</f>
        <v>0.0627106628067124</v>
      </c>
      <c r="I53" s="87" t="n">
        <f aca="false">I27/I6</f>
        <v>0.0485707758072882</v>
      </c>
      <c r="J53" s="87" t="n">
        <f aca="false">J27/J6</f>
        <v>0.0352240088896268</v>
      </c>
      <c r="K53" s="87" t="n">
        <f aca="false">K27/K6</f>
        <v>0.0223852999461814</v>
      </c>
      <c r="L53" s="87" t="n">
        <f aca="false">L27/L6</f>
        <v>0.0104958735491666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O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5"/>
    <col collapsed="false" customWidth="true" hidden="false" outlineLevel="0" max="16" min="3" style="0" width="13"/>
  </cols>
  <sheetData>
    <row r="1" customFormat="false" ht="24" hidden="false" customHeight="true" outlineLevel="0" collapsed="false">
      <c r="A1" s="15" t="s">
        <v>746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" hidden="false" customHeight="false" outlineLevel="0" collapsed="false">
      <c r="A2" s="16" t="s">
        <v>747</v>
      </c>
    </row>
    <row r="4" customFormat="false" ht="15" hidden="false" customHeight="false" outlineLevel="0" collapsed="false">
      <c r="A4" s="50" t="s">
        <v>473</v>
      </c>
      <c r="B4" s="50" t="s">
        <v>439</v>
      </c>
      <c r="C4" s="51" t="s">
        <v>241</v>
      </c>
      <c r="D4" s="51" t="s">
        <v>242</v>
      </c>
      <c r="E4" s="51" t="s">
        <v>243</v>
      </c>
      <c r="F4" s="51" t="s">
        <v>244</v>
      </c>
      <c r="G4" s="51" t="s">
        <v>245</v>
      </c>
      <c r="H4" s="51" t="s">
        <v>246</v>
      </c>
      <c r="I4" s="51" t="s">
        <v>247</v>
      </c>
      <c r="J4" s="51" t="s">
        <v>248</v>
      </c>
      <c r="K4" s="51" t="s">
        <v>249</v>
      </c>
      <c r="L4" s="51" t="s">
        <v>250</v>
      </c>
    </row>
    <row r="5" customFormat="false" ht="15" hidden="false" customHeight="false" outlineLevel="0" collapsed="false">
      <c r="A5" s="52" t="s">
        <v>251</v>
      </c>
      <c r="B5" s="9"/>
      <c r="C5" s="53" t="s">
        <v>252</v>
      </c>
      <c r="D5" s="53" t="s">
        <v>253</v>
      </c>
      <c r="E5" s="53" t="s">
        <v>254</v>
      </c>
      <c r="F5" s="53" t="s">
        <v>255</v>
      </c>
      <c r="G5" s="53" t="s">
        <v>256</v>
      </c>
      <c r="H5" s="53" t="s">
        <v>257</v>
      </c>
      <c r="I5" s="53" t="s">
        <v>258</v>
      </c>
      <c r="J5" s="53" t="s">
        <v>259</v>
      </c>
      <c r="K5" s="53" t="s">
        <v>260</v>
      </c>
      <c r="L5" s="53" t="s">
        <v>261</v>
      </c>
    </row>
    <row r="6" customFormat="false" ht="15" hidden="false" customHeight="false" outlineLevel="0" collapsed="false">
      <c r="A6" s="8" t="s">
        <v>748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customFormat="false" ht="15" hidden="false" customHeight="false" outlineLevel="0" collapsed="false">
      <c r="A7" s="7" t="s">
        <v>749</v>
      </c>
      <c r="B7" s="14" t="s">
        <v>162</v>
      </c>
      <c r="C7" s="79" t="n">
        <f aca="false">'P&amp;L'!C$20</f>
        <v>-386.36060876</v>
      </c>
      <c r="D7" s="79" t="n">
        <f aca="false">'P&amp;L'!D$20</f>
        <v>517.57216254</v>
      </c>
      <c r="E7" s="79" t="n">
        <f aca="false">'P&amp;L'!E$20</f>
        <v>1409.30936832075</v>
      </c>
      <c r="F7" s="79" t="n">
        <f aca="false">'P&amp;L'!F$20</f>
        <v>2028.65082182417</v>
      </c>
      <c r="G7" s="79" t="n">
        <f aca="false">'P&amp;L'!G$20</f>
        <v>2477.82306017938</v>
      </c>
      <c r="H7" s="79" t="n">
        <f aca="false">'P&amp;L'!H$20</f>
        <v>2918.42820495664</v>
      </c>
      <c r="I7" s="79" t="n">
        <f aca="false">'P&amp;L'!I$20</f>
        <v>3225.02646884253</v>
      </c>
      <c r="J7" s="79" t="n">
        <f aca="false">'P&amp;L'!J$20</f>
        <v>3515.00326222168</v>
      </c>
      <c r="K7" s="79" t="n">
        <f aca="false">'P&amp;L'!K$20</f>
        <v>3857.93009991592</v>
      </c>
      <c r="L7" s="79" t="n">
        <f aca="false">'P&amp;L'!L$20</f>
        <v>4213.83058231209</v>
      </c>
    </row>
    <row r="8" customFormat="false" ht="15" hidden="false" customHeight="false" outlineLevel="0" collapsed="false">
      <c r="A8" s="7" t="s">
        <v>750</v>
      </c>
      <c r="B8" s="14" t="s">
        <v>162</v>
      </c>
      <c r="C8" s="79" t="n">
        <f aca="false">-'P&amp;L'!C$34</f>
        <v>-0</v>
      </c>
      <c r="D8" s="79" t="n">
        <f aca="false">-'P&amp;L'!D$34</f>
        <v>-0</v>
      </c>
      <c r="E8" s="79" t="n">
        <f aca="false">-'P&amp;L'!E$34</f>
        <v>-0</v>
      </c>
      <c r="F8" s="79" t="n">
        <f aca="false">-'P&amp;L'!F$34</f>
        <v>-0</v>
      </c>
      <c r="G8" s="79" t="n">
        <f aca="false">-'P&amp;L'!G$34</f>
        <v>-0</v>
      </c>
      <c r="H8" s="79" t="n">
        <f aca="false">-'P&amp;L'!H$34</f>
        <v>-0.375197719308429</v>
      </c>
      <c r="I8" s="79" t="n">
        <f aca="false">-'P&amp;L'!I$34</f>
        <v>-504.782690670117</v>
      </c>
      <c r="J8" s="79" t="n">
        <f aca="false">-'P&amp;L'!J$34</f>
        <v>-604.9877011875</v>
      </c>
      <c r="K8" s="79" t="n">
        <f aca="false">-'P&amp;L'!K$34</f>
        <v>-722.21733242952</v>
      </c>
      <c r="L8" s="79" t="n">
        <f aca="false">-'P&amp;L'!L$34</f>
        <v>-845.309231124009</v>
      </c>
    </row>
    <row r="9" customFormat="false" ht="15" hidden="false" customHeight="false" outlineLevel="0" collapsed="false">
      <c r="A9" s="7" t="s">
        <v>751</v>
      </c>
      <c r="B9" s="14" t="s">
        <v>162</v>
      </c>
      <c r="C9" s="79" t="n">
        <f aca="false">-'Working Capital'!C$20</f>
        <v>-285.541251179178</v>
      </c>
      <c r="D9" s="79" t="n">
        <f aca="false">-'Working Capital'!D$20</f>
        <v>-211.098049820137</v>
      </c>
      <c r="E9" s="79" t="n">
        <f aca="false">-'Working Capital'!E$20</f>
        <v>-207.955851232873</v>
      </c>
      <c r="F9" s="79" t="n">
        <f aca="false">-'Working Capital'!F$20</f>
        <v>-167.122097852762</v>
      </c>
      <c r="G9" s="79" t="n">
        <f aca="false">-'Working Capital'!G$20</f>
        <v>-144.758869914292</v>
      </c>
      <c r="H9" s="79" t="n">
        <f aca="false">-'Working Capital'!H$20</f>
        <v>-117.930867853623</v>
      </c>
      <c r="I9" s="79" t="n">
        <f aca="false">-'Working Capital'!I$20</f>
        <v>-97.2707005507439</v>
      </c>
      <c r="J9" s="79" t="n">
        <f aca="false">-'Working Capital'!J$20</f>
        <v>-98.1096179751437</v>
      </c>
      <c r="K9" s="79" t="n">
        <f aca="false">-'Working Capital'!K$20</f>
        <v>-108.703705174963</v>
      </c>
      <c r="L9" s="79" t="n">
        <f aca="false">-'Working Capital'!L$20</f>
        <v>-114.26515139205</v>
      </c>
    </row>
    <row r="10" customFormat="false" ht="15" hidden="false" customHeight="false" outlineLevel="0" collapsed="false">
      <c r="A10" s="35" t="s">
        <v>752</v>
      </c>
      <c r="B10" s="80" t="s">
        <v>162</v>
      </c>
      <c r="C10" s="67" t="n">
        <f aca="false">SUM(C7:C9)</f>
        <v>-671.901859939178</v>
      </c>
      <c r="D10" s="67" t="n">
        <f aca="false">SUM(D7:D9)</f>
        <v>306.474112719863</v>
      </c>
      <c r="E10" s="67" t="n">
        <f aca="false">SUM(E7:E9)</f>
        <v>1201.35351708788</v>
      </c>
      <c r="F10" s="67" t="n">
        <f aca="false">SUM(F7:F9)</f>
        <v>1861.52872397141</v>
      </c>
      <c r="G10" s="67" t="n">
        <f aca="false">SUM(G7:G9)</f>
        <v>2333.06419026508</v>
      </c>
      <c r="H10" s="67" t="n">
        <f aca="false">SUM(H7:H9)</f>
        <v>2800.12213938371</v>
      </c>
      <c r="I10" s="67" t="n">
        <f aca="false">SUM(I7:I9)</f>
        <v>2622.97307762167</v>
      </c>
      <c r="J10" s="67" t="n">
        <f aca="false">SUM(J7:J9)</f>
        <v>2811.90594305904</v>
      </c>
      <c r="K10" s="67" t="n">
        <f aca="false">SUM(K7:K9)</f>
        <v>3027.00906231144</v>
      </c>
      <c r="L10" s="67" t="n">
        <f aca="false">SUM(L7:L9)</f>
        <v>3254.25619979603</v>
      </c>
    </row>
    <row r="12" customFormat="false" ht="15" hidden="false" customHeight="false" outlineLevel="0" collapsed="false">
      <c r="A12" s="8" t="s">
        <v>753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customFormat="false" ht="15" hidden="false" customHeight="false" outlineLevel="0" collapsed="false">
      <c r="A13" s="7" t="s">
        <v>754</v>
      </c>
      <c r="B13" s="14" t="s">
        <v>162</v>
      </c>
      <c r="C13" s="79" t="n">
        <f aca="false">-Depreciation!C$8</f>
        <v>-0</v>
      </c>
      <c r="D13" s="79" t="n">
        <f aca="false">-Depreciation!D$8</f>
        <v>-0</v>
      </c>
      <c r="E13" s="79" t="n">
        <f aca="false">-Depreciation!E$8</f>
        <v>-694.09757995435</v>
      </c>
      <c r="F13" s="79" t="n">
        <f aca="false">-Depreciation!F$8</f>
        <v>-177.604710190633</v>
      </c>
      <c r="G13" s="79" t="n">
        <f aca="false">-Depreciation!G$8</f>
        <v>-208.789174725421</v>
      </c>
      <c r="H13" s="79" t="n">
        <f aca="false">-Depreciation!H$8</f>
        <v>-232.440990932421</v>
      </c>
      <c r="I13" s="79" t="n">
        <f aca="false">-Depreciation!I$8</f>
        <v>-252.054809246221</v>
      </c>
      <c r="J13" s="79" t="n">
        <f aca="false">-Depreciation!J$8</f>
        <v>-271.832592679114</v>
      </c>
      <c r="K13" s="79" t="n">
        <f aca="false">-Depreciation!K$8</f>
        <v>-293.680974145706</v>
      </c>
      <c r="L13" s="79" t="n">
        <f aca="false">-Depreciation!L$8</f>
        <v>-316.61633171363</v>
      </c>
    </row>
    <row r="14" customFormat="false" ht="15" hidden="false" customHeight="false" outlineLevel="0" collapsed="false">
      <c r="A14" s="35" t="s">
        <v>755</v>
      </c>
      <c r="B14" s="80" t="s">
        <v>162</v>
      </c>
      <c r="C14" s="67" t="n">
        <f aca="false">C13</f>
        <v>-0</v>
      </c>
      <c r="D14" s="67" t="n">
        <f aca="false">D13</f>
        <v>-0</v>
      </c>
      <c r="E14" s="67" t="n">
        <f aca="false">E13</f>
        <v>-694.09757995435</v>
      </c>
      <c r="F14" s="67" t="n">
        <f aca="false">F13</f>
        <v>-177.604710190633</v>
      </c>
      <c r="G14" s="67" t="n">
        <f aca="false">G13</f>
        <v>-208.789174725421</v>
      </c>
      <c r="H14" s="67" t="n">
        <f aca="false">H13</f>
        <v>-232.440990932421</v>
      </c>
      <c r="I14" s="67" t="n">
        <f aca="false">I13</f>
        <v>-252.054809246221</v>
      </c>
      <c r="J14" s="67" t="n">
        <f aca="false">J13</f>
        <v>-271.832592679114</v>
      </c>
      <c r="K14" s="67" t="n">
        <f aca="false">K13</f>
        <v>-293.680974145706</v>
      </c>
      <c r="L14" s="67" t="n">
        <f aca="false">L13</f>
        <v>-316.61633171363</v>
      </c>
    </row>
    <row r="16" customFormat="false" ht="15" hidden="false" customHeight="false" outlineLevel="0" collapsed="false">
      <c r="A16" s="8" t="s">
        <v>756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customFormat="false" ht="15" hidden="false" customHeight="false" outlineLevel="0" collapsed="false">
      <c r="A17" s="7" t="s">
        <v>757</v>
      </c>
      <c r="B17" s="14" t="s">
        <v>162</v>
      </c>
      <c r="C17" s="79" t="n">
        <f aca="false">-'P&amp;L'!C$27</f>
        <v>-869.807490633622</v>
      </c>
      <c r="D17" s="79" t="n">
        <f aca="false">-'P&amp;L'!D$27</f>
        <v>-890.507490633622</v>
      </c>
      <c r="E17" s="79" t="n">
        <f aca="false">-'P&amp;L'!E$27</f>
        <v>-906.032490633622</v>
      </c>
      <c r="F17" s="79" t="n">
        <f aca="false">-'P&amp;L'!F$27</f>
        <v>-886.200015914613</v>
      </c>
      <c r="G17" s="79" t="n">
        <f aca="false">-'P&amp;L'!G$27</f>
        <v>-824.688416663923</v>
      </c>
      <c r="H17" s="79" t="n">
        <f aca="false">-'P&amp;L'!H$27</f>
        <v>-728.826430241057</v>
      </c>
      <c r="I17" s="79" t="n">
        <f aca="false">-'P&amp;L'!I$27</f>
        <v>-612.12488155235</v>
      </c>
      <c r="J17" s="79" t="n">
        <f aca="false">-'P&amp;L'!J$27</f>
        <v>-478.75168305097</v>
      </c>
      <c r="K17" s="79" t="n">
        <f aca="false">-'P&amp;L'!K$27</f>
        <v>-328.706834736918</v>
      </c>
      <c r="L17" s="79" t="n">
        <f aca="false">-'P&amp;L'!L$27</f>
        <v>-166.158249063362</v>
      </c>
    </row>
    <row r="18" customFormat="false" ht="15" hidden="false" customHeight="false" outlineLevel="0" collapsed="false">
      <c r="A18" s="7" t="s">
        <v>758</v>
      </c>
      <c r="B18" s="14" t="s">
        <v>162</v>
      </c>
      <c r="C18" s="79" t="n">
        <f aca="false">-'Debt Schedule'!C$9</f>
        <v>-0</v>
      </c>
      <c r="D18" s="79" t="n">
        <f aca="false">-'Debt Schedule'!D$9</f>
        <v>-0</v>
      </c>
      <c r="E18" s="79" t="n">
        <f aca="false">-'Debt Schedule'!E$9</f>
        <v>-0</v>
      </c>
      <c r="F18" s="79" t="n">
        <f aca="false">-'Debt Schedule'!F$9</f>
        <v>-465.255343609463</v>
      </c>
      <c r="G18" s="79" t="n">
        <f aca="false">-'Debt Schedule'!G$9</f>
        <v>-775.425572682439</v>
      </c>
      <c r="H18" s="79" t="n">
        <f aca="false">-'Debt Schedule'!H$9</f>
        <v>-1008.05324448717</v>
      </c>
      <c r="I18" s="79" t="n">
        <f aca="false">-'Debt Schedule'!I$9</f>
        <v>-1163.13835902366</v>
      </c>
      <c r="J18" s="79" t="n">
        <f aca="false">-'Debt Schedule'!J$9</f>
        <v>-1318.22347356015</v>
      </c>
      <c r="K18" s="79" t="n">
        <f aca="false">-'Debt Schedule'!K$9</f>
        <v>-1473.30858809663</v>
      </c>
      <c r="L18" s="79" t="n">
        <f aca="false">-'Debt Schedule'!L$9</f>
        <v>-1550.85114536488</v>
      </c>
    </row>
    <row r="19" customFormat="false" ht="15" hidden="false" customHeight="false" outlineLevel="0" collapsed="false">
      <c r="A19" s="7" t="s">
        <v>708</v>
      </c>
      <c r="B19" s="14" t="s">
        <v>162</v>
      </c>
      <c r="C19" s="79" t="n">
        <f aca="false">'Debt Schedule'!C$18</f>
        <v>315</v>
      </c>
      <c r="D19" s="79" t="n">
        <f aca="false">'Debt Schedule'!D$18</f>
        <v>180</v>
      </c>
      <c r="E19" s="79" t="n">
        <f aca="false">'Debt Schedule'!E$18</f>
        <v>135</v>
      </c>
      <c r="F19" s="79" t="n">
        <f aca="false">'Debt Schedule'!F$18</f>
        <v>45</v>
      </c>
      <c r="G19" s="79" t="n">
        <f aca="false">'Debt Schedule'!G$18</f>
        <v>45</v>
      </c>
      <c r="H19" s="79" t="n">
        <f aca="false">'Debt Schedule'!H$18</f>
        <v>0</v>
      </c>
      <c r="I19" s="79" t="n">
        <f aca="false">'Debt Schedule'!I$18</f>
        <v>0</v>
      </c>
      <c r="J19" s="79" t="n">
        <f aca="false">'Debt Schedule'!J$18</f>
        <v>0</v>
      </c>
      <c r="K19" s="79" t="n">
        <f aca="false">'Debt Schedule'!K$18</f>
        <v>0</v>
      </c>
      <c r="L19" s="79" t="n">
        <f aca="false">'Debt Schedule'!L$18</f>
        <v>0</v>
      </c>
    </row>
    <row r="20" customFormat="false" ht="15" hidden="false" customHeight="false" outlineLevel="0" collapsed="false">
      <c r="A20" s="35" t="s">
        <v>759</v>
      </c>
      <c r="B20" s="80" t="s">
        <v>162</v>
      </c>
      <c r="C20" s="67" t="n">
        <f aca="false">SUM(C17:C19)</f>
        <v>-554.807490633622</v>
      </c>
      <c r="D20" s="67" t="n">
        <f aca="false">SUM(D17:D19)</f>
        <v>-710.507490633622</v>
      </c>
      <c r="E20" s="67" t="n">
        <f aca="false">SUM(E17:E19)</f>
        <v>-771.032490633622</v>
      </c>
      <c r="F20" s="67" t="n">
        <f aca="false">SUM(F17:F19)</f>
        <v>-1306.45535952408</v>
      </c>
      <c r="G20" s="67" t="n">
        <f aca="false">SUM(G17:G19)</f>
        <v>-1555.11398934636</v>
      </c>
      <c r="H20" s="67" t="n">
        <f aca="false">SUM(H17:H19)</f>
        <v>-1736.87967472823</v>
      </c>
      <c r="I20" s="67" t="n">
        <f aca="false">SUM(I17:I19)</f>
        <v>-1775.26324057601</v>
      </c>
      <c r="J20" s="67" t="n">
        <f aca="false">SUM(J17:J19)</f>
        <v>-1796.97515661112</v>
      </c>
      <c r="K20" s="67" t="n">
        <f aca="false">SUM(K17:K19)</f>
        <v>-1802.01542283355</v>
      </c>
      <c r="L20" s="67" t="n">
        <f aca="false">SUM(L17:L19)</f>
        <v>-1717.00939442824</v>
      </c>
    </row>
    <row r="22" customFormat="false" ht="15" hidden="false" customHeight="false" outlineLevel="0" collapsed="false">
      <c r="A22" s="19" t="s">
        <v>760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</row>
    <row r="23" customFormat="false" ht="15" hidden="false" customHeight="false" outlineLevel="0" collapsed="false">
      <c r="A23" s="35" t="s">
        <v>761</v>
      </c>
      <c r="B23" s="80" t="s">
        <v>162</v>
      </c>
      <c r="C23" s="67" t="n">
        <f aca="false">C10+C14+C20</f>
        <v>-1226.7093505728</v>
      </c>
      <c r="D23" s="67" t="n">
        <f aca="false">D10+D14+D20</f>
        <v>-404.033377913758</v>
      </c>
      <c r="E23" s="67" t="n">
        <f aca="false">E10+E14+E20</f>
        <v>-263.776553500095</v>
      </c>
      <c r="F23" s="67" t="n">
        <f aca="false">F10+F14+F20</f>
        <v>377.4686542567</v>
      </c>
      <c r="G23" s="67" t="n">
        <f aca="false">G10+G14+G20</f>
        <v>569.161026193301</v>
      </c>
      <c r="H23" s="67" t="n">
        <f aca="false">H10+H14+H20</f>
        <v>830.801473723066</v>
      </c>
      <c r="I23" s="67" t="n">
        <f aca="false">I10+I14+I20</f>
        <v>595.65502779944</v>
      </c>
      <c r="J23" s="67" t="n">
        <f aca="false">J10+J14+J20</f>
        <v>743.098193768809</v>
      </c>
      <c r="K23" s="67" t="n">
        <f aca="false">K10+K14+K20</f>
        <v>931.312665332183</v>
      </c>
      <c r="L23" s="67" t="n">
        <f aca="false">L10+L14+L20</f>
        <v>1220.63047365416</v>
      </c>
    </row>
    <row r="24" customFormat="false" ht="15" hidden="false" customHeight="false" outlineLevel="0" collapsed="false">
      <c r="A24" s="7" t="s">
        <v>762</v>
      </c>
      <c r="B24" s="14" t="s">
        <v>162</v>
      </c>
      <c r="C24" s="81" t="n">
        <f aca="false">Assumptions!$C$112+'Capex &amp; Funding'!$C$17-'Capex &amp; Funding'!$C$42</f>
        <v>2052.45744273176</v>
      </c>
      <c r="D24" s="81" t="n">
        <f aca="false">C25</f>
        <v>825.748092158957</v>
      </c>
      <c r="E24" s="81" t="n">
        <f aca="false">D25</f>
        <v>421.714714245198</v>
      </c>
      <c r="F24" s="81" t="n">
        <f aca="false">E25</f>
        <v>157.938160745103</v>
      </c>
      <c r="G24" s="81" t="n">
        <f aca="false">F25</f>
        <v>535.406815001803</v>
      </c>
      <c r="H24" s="81" t="n">
        <f aca="false">G25</f>
        <v>1104.5678411951</v>
      </c>
      <c r="I24" s="81" t="n">
        <f aca="false">H25</f>
        <v>1935.36931491817</v>
      </c>
      <c r="J24" s="81" t="n">
        <f aca="false">I25</f>
        <v>2531.02434271761</v>
      </c>
      <c r="K24" s="81" t="n">
        <f aca="false">J25</f>
        <v>3274.12253648642</v>
      </c>
      <c r="L24" s="81" t="n">
        <f aca="false">K25</f>
        <v>4205.4352018186</v>
      </c>
    </row>
    <row r="25" customFormat="false" ht="15" hidden="false" customHeight="false" outlineLevel="0" collapsed="false">
      <c r="A25" s="35" t="s">
        <v>763</v>
      </c>
      <c r="B25" s="80" t="s">
        <v>162</v>
      </c>
      <c r="C25" s="67" t="n">
        <f aca="false">C24+C23</f>
        <v>825.748092158957</v>
      </c>
      <c r="D25" s="67" t="n">
        <f aca="false">D24+D23</f>
        <v>421.714714245198</v>
      </c>
      <c r="E25" s="67" t="n">
        <f aca="false">E24+E23</f>
        <v>157.938160745103</v>
      </c>
      <c r="F25" s="67" t="n">
        <f aca="false">F24+F23</f>
        <v>535.406815001803</v>
      </c>
      <c r="G25" s="67" t="n">
        <f aca="false">G24+G23</f>
        <v>1104.5678411951</v>
      </c>
      <c r="H25" s="67" t="n">
        <f aca="false">H24+H23</f>
        <v>1935.36931491817</v>
      </c>
      <c r="I25" s="67" t="n">
        <f aca="false">I24+I23</f>
        <v>2531.02434271761</v>
      </c>
      <c r="J25" s="67" t="n">
        <f aca="false">J24+J23</f>
        <v>3274.12253648642</v>
      </c>
      <c r="K25" s="67" t="n">
        <f aca="false">K24+K23</f>
        <v>4205.4352018186</v>
      </c>
      <c r="L25" s="67" t="n">
        <f aca="false">L24+L23</f>
        <v>5426.06567547277</v>
      </c>
    </row>
    <row r="26" customFormat="false" ht="15" hidden="false" customHeight="false" outlineLevel="0" collapsed="false">
      <c r="A26" s="7" t="s">
        <v>764</v>
      </c>
      <c r="C26" s="101" t="str">
        <f aca="false">IF(C25&gt;=Assumptions!$C$85,"PASS","BREACH")</f>
        <v>PASS</v>
      </c>
      <c r="D26" s="101" t="str">
        <f aca="false">IF(D25&gt;=Assumptions!$C$85,"PASS","BREACH")</f>
        <v>PASS</v>
      </c>
      <c r="E26" s="101" t="str">
        <f aca="false">IF(E25&gt;=Assumptions!$C$85,"PASS","BREACH")</f>
        <v>PASS</v>
      </c>
      <c r="F26" s="101" t="str">
        <f aca="false">IF(F25&gt;=Assumptions!$C$85,"PASS","BREACH")</f>
        <v>PASS</v>
      </c>
      <c r="G26" s="101" t="str">
        <f aca="false">IF(G25&gt;=Assumptions!$C$85,"PASS","BREACH")</f>
        <v>PASS</v>
      </c>
      <c r="H26" s="101" t="str">
        <f aca="false">IF(H25&gt;=Assumptions!$C$85,"PASS","BREACH")</f>
        <v>PASS</v>
      </c>
      <c r="I26" s="101" t="str">
        <f aca="false">IF(I25&gt;=Assumptions!$C$85,"PASS","BREACH")</f>
        <v>PASS</v>
      </c>
      <c r="J26" s="101" t="str">
        <f aca="false">IF(J25&gt;=Assumptions!$C$85,"PASS","BREACH")</f>
        <v>PASS</v>
      </c>
      <c r="K26" s="101" t="str">
        <f aca="false">IF(K25&gt;=Assumptions!$C$85,"PASS","BREACH")</f>
        <v>PASS</v>
      </c>
      <c r="L26" s="101" t="str">
        <f aca="false">IF(L25&gt;=Assumptions!$C$85,"PASS","BREACH")</f>
        <v>PASS</v>
      </c>
    </row>
    <row r="28" customFormat="false" ht="15" hidden="false" customHeight="false" outlineLevel="0" collapsed="false">
      <c r="A28" s="8" t="s">
        <v>765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</row>
    <row r="29" customFormat="false" ht="15" hidden="false" customHeight="false" outlineLevel="0" collapsed="false">
      <c r="A29" s="6" t="s">
        <v>766</v>
      </c>
      <c r="B29" s="14" t="s">
        <v>162</v>
      </c>
      <c r="C29" s="85" t="n">
        <f aca="false">'P&amp;L'!C$20-'Returns &amp; IRR'!C$10-'Working Capital'!C$20-Depreciation!C$8</f>
        <v>-671.901859939178</v>
      </c>
      <c r="D29" s="85" t="n">
        <f aca="false">'P&amp;L'!D$20-'Returns &amp; IRR'!D$10-'Working Capital'!D$20-Depreciation!D$8</f>
        <v>306.474112719863</v>
      </c>
      <c r="E29" s="85" t="n">
        <f aca="false">'P&amp;L'!E$20-'Returns &amp; IRR'!E$10-'Working Capital'!E$20-Depreciation!E$8</f>
        <v>507.255937133526</v>
      </c>
      <c r="F29" s="85" t="n">
        <f aca="false">'P&amp;L'!F$20-'Returns &amp; IRR'!F$10-'Working Capital'!F$20-Depreciation!F$8</f>
        <v>1428.02380814883</v>
      </c>
      <c r="G29" s="85" t="n">
        <f aca="false">'P&amp;L'!G$20-'Returns &amp; IRR'!G$10-'Working Capital'!G$20-Depreciation!G$8</f>
        <v>1673.63458373878</v>
      </c>
      <c r="H29" s="85" t="n">
        <f aca="false">'P&amp;L'!H$20-'Returns &amp; IRR'!H$10-'Working Capital'!H$20-Depreciation!H$8</f>
        <v>1989.12801748167</v>
      </c>
      <c r="I29" s="85" t="n">
        <f aca="false">'P&amp;L'!I$20-'Returns &amp; IRR'!I$10-'Working Capital'!I$20-Depreciation!I$8</f>
        <v>2216.85867818635</v>
      </c>
      <c r="J29" s="85" t="n">
        <f aca="false">'P&amp;L'!J$20-'Returns &amp; IRR'!J$10-'Working Capital'!J$20-Depreciation!J$8</f>
        <v>2419.58112678966</v>
      </c>
      <c r="K29" s="85" t="n">
        <f aca="false">'P&amp;L'!K$20-'Returns &amp; IRR'!K$10-'Working Capital'!K$20-Depreciation!K$8</f>
        <v>2650.59915199915</v>
      </c>
      <c r="L29" s="85" t="n">
        <f aca="false">'P&amp;L'!L$20-'Returns &amp; IRR'!L$10-'Working Capital'!L$20-Depreciation!L$8</f>
        <v>2895.82115995814</v>
      </c>
      <c r="N29" s="14" t="s">
        <v>767</v>
      </c>
    </row>
    <row r="30" customFormat="false" ht="15" hidden="false" customHeight="false" outlineLevel="0" collapsed="false">
      <c r="A30" s="6" t="s">
        <v>768</v>
      </c>
      <c r="B30" s="14" t="s">
        <v>162</v>
      </c>
      <c r="C30" s="85" t="n">
        <f aca="false">'P&amp;L'!C$38+'P&amp;L'!C$23-'Debt Schedule'!C$9-'Working Capital'!C$20-Depreciation!C$8+'Debt Schedule'!C$18</f>
        <v>-1226.7093505728</v>
      </c>
      <c r="D30" s="85" t="n">
        <f aca="false">'P&amp;L'!D$38+'P&amp;L'!D$23-'Debt Schedule'!D$9-'Working Capital'!D$20-Depreciation!D$8+'Debt Schedule'!D$18</f>
        <v>-404.033377913758</v>
      </c>
      <c r="E30" s="85" t="n">
        <f aca="false">'P&amp;L'!E$38+'P&amp;L'!E$23-'Debt Schedule'!E$9-'Working Capital'!E$20-Depreciation!E$8+'Debt Schedule'!E$18</f>
        <v>-263.776553500095</v>
      </c>
      <c r="F30" s="85" t="n">
        <f aca="false">'P&amp;L'!F$38+'P&amp;L'!F$23-'Debt Schedule'!F$9-'Working Capital'!F$20-Depreciation!F$8+'Debt Schedule'!F$18</f>
        <v>377.4686542567</v>
      </c>
      <c r="G30" s="85" t="n">
        <f aca="false">'P&amp;L'!G$38+'P&amp;L'!G$23-'Debt Schedule'!G$9-'Working Capital'!G$20-Depreciation!G$8+'Debt Schedule'!G$18</f>
        <v>569.161026193301</v>
      </c>
      <c r="H30" s="85" t="n">
        <f aca="false">'P&amp;L'!H$38+'P&amp;L'!H$23-'Debt Schedule'!H$9-'Working Capital'!H$20-Depreciation!H$8+'Debt Schedule'!H$18</f>
        <v>830.801473723065</v>
      </c>
      <c r="I30" s="85" t="n">
        <f aca="false">'P&amp;L'!I$38+'P&amp;L'!I$23-'Debt Schedule'!I$9-'Working Capital'!I$20-Depreciation!I$8+'Debt Schedule'!I$18</f>
        <v>595.65502779944</v>
      </c>
      <c r="J30" s="85" t="n">
        <f aca="false">'P&amp;L'!J$38+'P&amp;L'!J$23-'Debt Schedule'!J$9-'Working Capital'!J$20-Depreciation!J$8+'Debt Schedule'!J$18</f>
        <v>743.098193768809</v>
      </c>
      <c r="K30" s="85" t="n">
        <f aca="false">'P&amp;L'!K$38+'P&amp;L'!K$23-'Debt Schedule'!K$9-'Working Capital'!K$20-Depreciation!K$8+'Debt Schedule'!K$18</f>
        <v>931.312665332184</v>
      </c>
      <c r="L30" s="85" t="n">
        <f aca="false">'P&amp;L'!L$38+'P&amp;L'!L$23-'Debt Schedule'!L$9-'Working Capital'!L$20-Depreciation!L$8+'Debt Schedule'!L$18</f>
        <v>1220.63047365416</v>
      </c>
      <c r="N30" s="14" t="s">
        <v>769</v>
      </c>
    </row>
    <row r="31" customFormat="false" ht="15" hidden="false" customHeight="false" outlineLevel="0" collapsed="false">
      <c r="A31" s="7" t="s">
        <v>770</v>
      </c>
      <c r="B31" s="14" t="s">
        <v>162</v>
      </c>
      <c r="C31" s="81" t="n">
        <f aca="false">C30</f>
        <v>-1226.7093505728</v>
      </c>
      <c r="D31" s="81" t="n">
        <f aca="false">C31+D30</f>
        <v>-1630.74272848656</v>
      </c>
      <c r="E31" s="81" t="n">
        <f aca="false">D31+E30</f>
        <v>-1894.51928198665</v>
      </c>
      <c r="F31" s="81" t="n">
        <f aca="false">E31+F30</f>
        <v>-1517.05062772995</v>
      </c>
      <c r="G31" s="81" t="n">
        <f aca="false">F31+G30</f>
        <v>-947.889601536653</v>
      </c>
      <c r="H31" s="81" t="n">
        <f aca="false">G31+H30</f>
        <v>-117.088127813588</v>
      </c>
      <c r="I31" s="81" t="n">
        <f aca="false">H31+I30</f>
        <v>478.566899985853</v>
      </c>
      <c r="J31" s="81" t="n">
        <f aca="false">I31+J30</f>
        <v>1221.66509375466</v>
      </c>
      <c r="K31" s="81" t="n">
        <f aca="false">J31+K30</f>
        <v>2152.97775908685</v>
      </c>
      <c r="L31" s="81" t="n">
        <f aca="false">K31+L30</f>
        <v>3373.60823274101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O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5"/>
    <col collapsed="false" customWidth="true" hidden="false" outlineLevel="0" max="16" min="3" style="0" width="13"/>
  </cols>
  <sheetData>
    <row r="1" customFormat="false" ht="24" hidden="false" customHeight="true" outlineLevel="0" collapsed="false">
      <c r="A1" s="15" t="s">
        <v>771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" hidden="false" customHeight="false" outlineLevel="0" collapsed="false">
      <c r="A2" s="16" t="s">
        <v>772</v>
      </c>
    </row>
    <row r="4" customFormat="false" ht="15" hidden="false" customHeight="false" outlineLevel="0" collapsed="false">
      <c r="A4" s="50" t="s">
        <v>473</v>
      </c>
      <c r="B4" s="50" t="s">
        <v>439</v>
      </c>
      <c r="C4" s="51" t="s">
        <v>241</v>
      </c>
      <c r="D4" s="51" t="s">
        <v>242</v>
      </c>
      <c r="E4" s="51" t="s">
        <v>243</v>
      </c>
      <c r="F4" s="51" t="s">
        <v>244</v>
      </c>
      <c r="G4" s="51" t="s">
        <v>245</v>
      </c>
      <c r="H4" s="51" t="s">
        <v>246</v>
      </c>
      <c r="I4" s="51" t="s">
        <v>247</v>
      </c>
      <c r="J4" s="51" t="s">
        <v>248</v>
      </c>
      <c r="K4" s="51" t="s">
        <v>249</v>
      </c>
      <c r="L4" s="51" t="s">
        <v>250</v>
      </c>
    </row>
    <row r="5" customFormat="false" ht="15" hidden="false" customHeight="false" outlineLevel="0" collapsed="false">
      <c r="A5" s="52" t="s">
        <v>251</v>
      </c>
      <c r="B5" s="9"/>
      <c r="C5" s="53" t="s">
        <v>252</v>
      </c>
      <c r="D5" s="53" t="s">
        <v>253</v>
      </c>
      <c r="E5" s="53" t="s">
        <v>254</v>
      </c>
      <c r="F5" s="53" t="s">
        <v>255</v>
      </c>
      <c r="G5" s="53" t="s">
        <v>256</v>
      </c>
      <c r="H5" s="53" t="s">
        <v>257</v>
      </c>
      <c r="I5" s="53" t="s">
        <v>258</v>
      </c>
      <c r="J5" s="53" t="s">
        <v>259</v>
      </c>
      <c r="K5" s="53" t="s">
        <v>260</v>
      </c>
      <c r="L5" s="53" t="s">
        <v>261</v>
      </c>
    </row>
    <row r="6" customFormat="false" ht="15" hidden="false" customHeight="false" outlineLevel="0" collapsed="false">
      <c r="A6" s="19" t="s">
        <v>773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</row>
    <row r="7" customFormat="false" ht="15" hidden="false" customHeight="false" outlineLevel="0" collapsed="false">
      <c r="A7" s="8" t="s">
        <v>774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customFormat="false" ht="15" hidden="false" customHeight="false" outlineLevel="0" collapsed="false">
      <c r="A8" s="7" t="s">
        <v>775</v>
      </c>
      <c r="B8" s="14" t="s">
        <v>162</v>
      </c>
      <c r="C8" s="79" t="n">
        <f aca="false">'Capex &amp; Funding'!$C$33+Assumptions!$C$112</f>
        <v>5103.25245435331</v>
      </c>
      <c r="D8" s="79" t="n">
        <f aca="false">'Capex &amp; Funding'!$C$33+Assumptions!$C$112</f>
        <v>5103.25245435331</v>
      </c>
      <c r="E8" s="79" t="n">
        <f aca="false">'Capex &amp; Funding'!$C$33+Assumptions!$C$112</f>
        <v>5103.25245435331</v>
      </c>
      <c r="F8" s="79" t="n">
        <f aca="false">'Capex &amp; Funding'!$C$33+Assumptions!$C$112</f>
        <v>5103.25245435331</v>
      </c>
      <c r="G8" s="79" t="n">
        <f aca="false">'Capex &amp; Funding'!$C$33+Assumptions!$C$112</f>
        <v>5103.25245435331</v>
      </c>
      <c r="H8" s="79" t="n">
        <f aca="false">'Capex &amp; Funding'!$C$33+Assumptions!$C$112</f>
        <v>5103.25245435331</v>
      </c>
      <c r="I8" s="79" t="n">
        <f aca="false">'Capex &amp; Funding'!$C$33+Assumptions!$C$112</f>
        <v>5103.25245435331</v>
      </c>
      <c r="J8" s="79" t="n">
        <f aca="false">'Capex &amp; Funding'!$C$33+Assumptions!$C$112</f>
        <v>5103.25245435331</v>
      </c>
      <c r="K8" s="79" t="n">
        <f aca="false">'Capex &amp; Funding'!$C$33+Assumptions!$C$112</f>
        <v>5103.25245435331</v>
      </c>
      <c r="L8" s="79" t="n">
        <f aca="false">'Capex &amp; Funding'!$C$33+Assumptions!$C$112</f>
        <v>5103.25245435331</v>
      </c>
      <c r="N8" s="14" t="s">
        <v>776</v>
      </c>
    </row>
    <row r="9" customFormat="false" ht="15" hidden="false" customHeight="false" outlineLevel="0" collapsed="false">
      <c r="A9" s="7" t="s">
        <v>777</v>
      </c>
      <c r="B9" s="14" t="s">
        <v>162</v>
      </c>
      <c r="C9" s="81" t="n">
        <f aca="false">'P&amp;L'!C$38-'Capex &amp; Funding'!$C$42</f>
        <v>-1947.58411798854</v>
      </c>
      <c r="D9" s="81" t="n">
        <f aca="false">C9+'P&amp;L'!D$38</f>
        <v>-2934.39290740884</v>
      </c>
      <c r="E9" s="81" t="n">
        <f aca="false">D9+'P&amp;L'!E$38</f>
        <v>-3086.23949104838</v>
      </c>
      <c r="F9" s="81" t="n">
        <f aca="false">E9+'P&amp;L'!F$38</f>
        <v>-2613.32190446094</v>
      </c>
      <c r="G9" s="81" t="n">
        <f aca="false">F9+'P&amp;L'!G$38</f>
        <v>-1647.48095128666</v>
      </c>
      <c r="H9" s="81" t="n">
        <f aca="false">G9+'P&amp;L'!H$38</f>
        <v>-76.426982104095</v>
      </c>
      <c r="I9" s="81" t="n">
        <f aca="false">H9+'P&amp;L'!I$38</f>
        <v>1424.44310325136</v>
      </c>
      <c r="J9" s="81" t="n">
        <f aca="false">I9+'P&amp;L'!J$38</f>
        <v>3223.25268904535</v>
      </c>
      <c r="K9" s="81" t="n">
        <f aca="false">J9+'P&amp;L'!K$38</f>
        <v>5370.6210703377</v>
      </c>
      <c r="L9" s="81" t="n">
        <f aca="false">K9+'P&amp;L'!L$38</f>
        <v>7883.97852359071</v>
      </c>
      <c r="N9" s="14" t="s">
        <v>778</v>
      </c>
    </row>
    <row r="10" customFormat="false" ht="15" hidden="false" customHeight="false" outlineLevel="0" collapsed="false">
      <c r="A10" s="35" t="s">
        <v>779</v>
      </c>
      <c r="B10" s="80" t="s">
        <v>162</v>
      </c>
      <c r="C10" s="67" t="n">
        <f aca="false">C8+C9</f>
        <v>3155.66833636477</v>
      </c>
      <c r="D10" s="67" t="n">
        <f aca="false">D8+D9</f>
        <v>2168.85954694447</v>
      </c>
      <c r="E10" s="67" t="n">
        <f aca="false">E8+E9</f>
        <v>2017.01296330492</v>
      </c>
      <c r="F10" s="67" t="n">
        <f aca="false">F8+F9</f>
        <v>2489.93054989237</v>
      </c>
      <c r="G10" s="67" t="n">
        <f aca="false">G8+G9</f>
        <v>3455.77150306665</v>
      </c>
      <c r="H10" s="67" t="n">
        <f aca="false">H8+H9</f>
        <v>5026.82547224921</v>
      </c>
      <c r="I10" s="67" t="n">
        <f aca="false">I8+I9</f>
        <v>6527.69555760467</v>
      </c>
      <c r="J10" s="67" t="n">
        <f aca="false">J8+J9</f>
        <v>8326.50514339866</v>
      </c>
      <c r="K10" s="67" t="n">
        <f aca="false">K8+K9</f>
        <v>10473.873524691</v>
      </c>
      <c r="L10" s="67" t="n">
        <f aca="false">L8+L9</f>
        <v>12987.230977944</v>
      </c>
    </row>
    <row r="12" customFormat="false" ht="15" hidden="false" customHeight="false" outlineLevel="0" collapsed="false">
      <c r="A12" s="8" t="s">
        <v>780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customFormat="false" ht="15" hidden="false" customHeight="false" outlineLevel="0" collapsed="false">
      <c r="A13" s="7" t="s">
        <v>781</v>
      </c>
      <c r="B13" s="14" t="s">
        <v>162</v>
      </c>
      <c r="C13" s="79" t="n">
        <f aca="false">'Debt Schedule'!C$11</f>
        <v>7754.25572682439</v>
      </c>
      <c r="D13" s="79" t="n">
        <f aca="false">'Debt Schedule'!D$11</f>
        <v>7754.25572682439</v>
      </c>
      <c r="E13" s="79" t="n">
        <f aca="false">'Debt Schedule'!E$11</f>
        <v>7754.25572682439</v>
      </c>
      <c r="F13" s="79" t="n">
        <f aca="false">'Debt Schedule'!F$11</f>
        <v>7289.00038321492</v>
      </c>
      <c r="G13" s="79" t="n">
        <f aca="false">'Debt Schedule'!G$11</f>
        <v>6513.57481053248</v>
      </c>
      <c r="H13" s="79" t="n">
        <f aca="false">'Debt Schedule'!H$11</f>
        <v>5505.52156604531</v>
      </c>
      <c r="I13" s="79" t="n">
        <f aca="false">'Debt Schedule'!I$11</f>
        <v>4342.38320702166</v>
      </c>
      <c r="J13" s="79" t="n">
        <f aca="false">'Debt Schedule'!J$11</f>
        <v>3024.15973346151</v>
      </c>
      <c r="K13" s="79" t="n">
        <f aca="false">'Debt Schedule'!K$11</f>
        <v>1550.85114536488</v>
      </c>
      <c r="L13" s="79" t="n">
        <f aca="false">'Debt Schedule'!L$11</f>
        <v>0</v>
      </c>
    </row>
    <row r="15" customFormat="false" ht="15" hidden="false" customHeight="false" outlineLevel="0" collapsed="false">
      <c r="A15" s="8" t="s">
        <v>611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customFormat="false" ht="15" hidden="false" customHeight="false" outlineLevel="0" collapsed="false">
      <c r="A16" s="7" t="s">
        <v>782</v>
      </c>
      <c r="B16" s="14" t="s">
        <v>162</v>
      </c>
      <c r="C16" s="79" t="n">
        <f aca="false">'Debt Schedule'!C$16</f>
        <v>315</v>
      </c>
      <c r="D16" s="79" t="n">
        <f aca="false">'Debt Schedule'!D$16</f>
        <v>495</v>
      </c>
      <c r="E16" s="79" t="n">
        <f aca="false">'Debt Schedule'!E$16</f>
        <v>630</v>
      </c>
      <c r="F16" s="79" t="n">
        <f aca="false">'Debt Schedule'!F$16</f>
        <v>675</v>
      </c>
      <c r="G16" s="79" t="n">
        <f aca="false">'Debt Schedule'!G$16</f>
        <v>720</v>
      </c>
      <c r="H16" s="79" t="n">
        <f aca="false">'Debt Schedule'!H$16</f>
        <v>720</v>
      </c>
      <c r="I16" s="79" t="n">
        <f aca="false">'Debt Schedule'!I$16</f>
        <v>720</v>
      </c>
      <c r="J16" s="79" t="n">
        <f aca="false">'Debt Schedule'!J$16</f>
        <v>720</v>
      </c>
      <c r="K16" s="79" t="n">
        <f aca="false">'Debt Schedule'!K$16</f>
        <v>720</v>
      </c>
      <c r="L16" s="79" t="n">
        <f aca="false">'Debt Schedule'!L$16</f>
        <v>720</v>
      </c>
    </row>
    <row r="17" customFormat="false" ht="15" hidden="false" customHeight="false" outlineLevel="0" collapsed="false">
      <c r="A17" s="7" t="s">
        <v>612</v>
      </c>
      <c r="B17" s="14" t="s">
        <v>162</v>
      </c>
      <c r="C17" s="79" t="n">
        <f aca="false">'Working Capital'!C$14</f>
        <v>108.254457951781</v>
      </c>
      <c r="D17" s="79" t="n">
        <f aca="false">'Working Capital'!D$14</f>
        <v>171.475059643151</v>
      </c>
      <c r="E17" s="79" t="n">
        <f aca="false">'Working Capital'!E$14</f>
        <v>236.973966099661</v>
      </c>
      <c r="F17" s="79" t="n">
        <f aca="false">'Working Capital'!F$14</f>
        <v>288.795719242884</v>
      </c>
      <c r="G17" s="79" t="n">
        <f aca="false">'Working Capital'!G$14</f>
        <v>347.803829918919</v>
      </c>
      <c r="H17" s="79" t="n">
        <f aca="false">'Working Capital'!H$14</f>
        <v>384.419761116514</v>
      </c>
      <c r="I17" s="79" t="n">
        <f aca="false">'Working Capital'!I$14</f>
        <v>415.310585712108</v>
      </c>
      <c r="J17" s="79" t="n">
        <f aca="false">'Working Capital'!J$14</f>
        <v>446.433881401209</v>
      </c>
      <c r="K17" s="79" t="n">
        <f aca="false">'Working Capital'!K$14</f>
        <v>480.492888001104</v>
      </c>
      <c r="L17" s="79" t="n">
        <f aca="false">'Working Capital'!L$14</f>
        <v>516.093018251517</v>
      </c>
    </row>
    <row r="18" customFormat="false" ht="15" hidden="false" customHeight="false" outlineLevel="0" collapsed="false">
      <c r="A18" s="7" t="s">
        <v>783</v>
      </c>
      <c r="B18" s="14" t="s">
        <v>162</v>
      </c>
      <c r="C18" s="79" t="n">
        <f aca="false">'Working Capital'!C$15</f>
        <v>148.602154389041</v>
      </c>
      <c r="D18" s="79" t="n">
        <f aca="false">'Working Capital'!D$15</f>
        <v>252.118626657534</v>
      </c>
      <c r="E18" s="79" t="n">
        <f aca="false">'Working Capital'!E$15</f>
        <v>355.309101257301</v>
      </c>
      <c r="F18" s="79" t="n">
        <f aca="false">'Working Capital'!F$15</f>
        <v>437.929422387862</v>
      </c>
      <c r="G18" s="79" t="n">
        <f aca="false">'Working Capital'!G$15</f>
        <v>514.822622610627</v>
      </c>
      <c r="H18" s="79" t="n">
        <f aca="false">'Working Capital'!H$15</f>
        <v>573.142169422407</v>
      </c>
      <c r="I18" s="79" t="n">
        <f aca="false">'Working Capital'!I$15</f>
        <v>621.50500910027</v>
      </c>
      <c r="J18" s="79" t="n">
        <f aca="false">'Working Capital'!J$15</f>
        <v>670.272146332061</v>
      </c>
      <c r="K18" s="79" t="n">
        <f aca="false">'Working Capital'!K$15</f>
        <v>724.144867756536</v>
      </c>
      <c r="L18" s="79" t="n">
        <f aca="false">'Working Capital'!L$15</f>
        <v>780.69780422539</v>
      </c>
    </row>
    <row r="19" customFormat="false" ht="15" hidden="false" customHeight="false" outlineLevel="0" collapsed="false">
      <c r="A19" s="35" t="s">
        <v>784</v>
      </c>
      <c r="B19" s="80" t="s">
        <v>162</v>
      </c>
      <c r="C19" s="67" t="n">
        <f aca="false">C16+C17+C18</f>
        <v>571.856612340822</v>
      </c>
      <c r="D19" s="67" t="n">
        <f aca="false">D16+D17+D18</f>
        <v>918.593686300685</v>
      </c>
      <c r="E19" s="67" t="n">
        <f aca="false">E16+E17+E18</f>
        <v>1222.28306735696</v>
      </c>
      <c r="F19" s="67" t="n">
        <f aca="false">F16+F17+F18</f>
        <v>1401.72514163075</v>
      </c>
      <c r="G19" s="67" t="n">
        <f aca="false">G16+G17+G18</f>
        <v>1582.62645252955</v>
      </c>
      <c r="H19" s="67" t="n">
        <f aca="false">H16+H17+H18</f>
        <v>1677.56193053892</v>
      </c>
      <c r="I19" s="67" t="n">
        <f aca="false">I16+I17+I18</f>
        <v>1756.81559481238</v>
      </c>
      <c r="J19" s="67" t="n">
        <f aca="false">J16+J17+J18</f>
        <v>1836.70602773327</v>
      </c>
      <c r="K19" s="67" t="n">
        <f aca="false">K16+K17+K18</f>
        <v>1924.63775575764</v>
      </c>
      <c r="L19" s="67" t="n">
        <f aca="false">L16+L17+L18</f>
        <v>2016.79082247691</v>
      </c>
    </row>
    <row r="21" customFormat="false" ht="15" hidden="false" customHeight="false" outlineLevel="0" collapsed="false">
      <c r="A21" s="35" t="s">
        <v>785</v>
      </c>
      <c r="B21" s="80" t="s">
        <v>162</v>
      </c>
      <c r="C21" s="67" t="n">
        <f aca="false">C10+C13+C19</f>
        <v>11481.78067553</v>
      </c>
      <c r="D21" s="67" t="n">
        <f aca="false">D10+D13+D19</f>
        <v>10841.7089600695</v>
      </c>
      <c r="E21" s="67" t="n">
        <f aca="false">E10+E13+E19</f>
        <v>10993.5517574863</v>
      </c>
      <c r="F21" s="67" t="n">
        <f aca="false">F10+F13+F19</f>
        <v>11180.656074738</v>
      </c>
      <c r="G21" s="67" t="n">
        <f aca="false">G10+G13+G19</f>
        <v>11551.9727661287</v>
      </c>
      <c r="H21" s="67" t="n">
        <f aca="false">H10+H13+H19</f>
        <v>12209.9089688334</v>
      </c>
      <c r="I21" s="67" t="n">
        <f aca="false">I10+I13+I19</f>
        <v>12626.8943594387</v>
      </c>
      <c r="J21" s="67" t="n">
        <f aca="false">J10+J13+J19</f>
        <v>13187.3709045934</v>
      </c>
      <c r="K21" s="67" t="n">
        <f aca="false">K10+K13+K19</f>
        <v>13949.3624258135</v>
      </c>
      <c r="L21" s="67" t="n">
        <f aca="false">L10+L13+L19</f>
        <v>15004.0218004209</v>
      </c>
    </row>
    <row r="23" customFormat="false" ht="15" hidden="false" customHeight="false" outlineLevel="0" collapsed="false">
      <c r="A23" s="19" t="s">
        <v>786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</row>
    <row r="24" customFormat="false" ht="15" hidden="false" customHeight="false" outlineLevel="0" collapsed="false">
      <c r="A24" s="8" t="s">
        <v>787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customFormat="false" ht="15" hidden="false" customHeight="false" outlineLevel="0" collapsed="false">
      <c r="A25" s="7" t="s">
        <v>788</v>
      </c>
      <c r="B25" s="14" t="s">
        <v>162</v>
      </c>
      <c r="C25" s="79" t="n">
        <f aca="false">Depreciation!C$22</f>
        <v>10113.634719851</v>
      </c>
      <c r="D25" s="79" t="n">
        <f aca="false">Depreciation!D$22</f>
        <v>9499.76125852434</v>
      </c>
      <c r="E25" s="79" t="n">
        <f aca="false">Depreciation!E$22</f>
        <v>9538.73537715202</v>
      </c>
      <c r="F25" s="79" t="n">
        <f aca="false">Depreciation!F$22</f>
        <v>9046.80686802054</v>
      </c>
      <c r="G25" s="79" t="n">
        <f aca="false">Depreciation!G$22</f>
        <v>8568.30235240479</v>
      </c>
      <c r="H25" s="79" t="n">
        <f aca="false">Depreciation!H$22</f>
        <v>8182.57073552349</v>
      </c>
      <c r="I25" s="79" t="n">
        <f aca="false">Depreciation!I$22</f>
        <v>7827.37673350511</v>
      </c>
      <c r="J25" s="79" t="n">
        <f aca="false">Depreciation!J$22</f>
        <v>7466.755033995</v>
      </c>
      <c r="K25" s="79" t="n">
        <f aca="false">Depreciation!K$22</f>
        <v>7100.79845668357</v>
      </c>
      <c r="L25" s="79" t="n">
        <f aca="false">Depreciation!L$22</f>
        <v>6728.40913952549</v>
      </c>
    </row>
    <row r="27" customFormat="false" ht="15" hidden="false" customHeight="false" outlineLevel="0" collapsed="false">
      <c r="A27" s="8" t="s">
        <v>605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</row>
    <row r="28" customFormat="false" ht="15" hidden="false" customHeight="false" outlineLevel="0" collapsed="false">
      <c r="A28" s="7" t="s">
        <v>607</v>
      </c>
      <c r="B28" s="14" t="s">
        <v>162</v>
      </c>
      <c r="C28" s="79" t="n">
        <f aca="false">'Working Capital'!C$8</f>
        <v>395.859627941918</v>
      </c>
      <c r="D28" s="79" t="n">
        <f aca="false">'Working Capital'!D$8</f>
        <v>671.616008234932</v>
      </c>
      <c r="E28" s="79" t="n">
        <f aca="false">'Working Capital'!E$8</f>
        <v>946.503966960422</v>
      </c>
      <c r="F28" s="79" t="n">
        <f aca="false">'Working Capital'!F$8</f>
        <v>1166.59532241655</v>
      </c>
      <c r="G28" s="79" t="n">
        <f aca="false">'Working Capital'!G$8</f>
        <v>1371.43026412109</v>
      </c>
      <c r="H28" s="79" t="n">
        <f aca="false">'Working Capital'!H$8</f>
        <v>1526.78705687802</v>
      </c>
      <c r="I28" s="79" t="n">
        <f aca="false">'Working Capital'!I$8</f>
        <v>1655.620288131</v>
      </c>
      <c r="J28" s="79" t="n">
        <f aca="false">'Working Capital'!J$8</f>
        <v>1785.53052314568</v>
      </c>
      <c r="K28" s="79" t="n">
        <f aca="false">'Working Capital'!K$8</f>
        <v>1929.04146716255</v>
      </c>
      <c r="L28" s="79" t="n">
        <f aca="false">'Working Capital'!L$8</f>
        <v>2079.69220625597</v>
      </c>
    </row>
    <row r="29" customFormat="false" ht="15" hidden="false" customHeight="false" outlineLevel="0" collapsed="false">
      <c r="A29" s="7" t="s">
        <v>789</v>
      </c>
      <c r="B29" s="14" t="s">
        <v>162</v>
      </c>
      <c r="C29" s="79" t="n">
        <f aca="false">'Working Capital'!C$9</f>
        <v>47.4701326520548</v>
      </c>
      <c r="D29" s="79" t="n">
        <f aca="false">'Working Capital'!D$9</f>
        <v>80.5378946267123</v>
      </c>
      <c r="E29" s="79" t="n">
        <f aca="false">'Working Capital'!E$9</f>
        <v>113.501518457193</v>
      </c>
      <c r="F29" s="79" t="n">
        <f aca="false">'Working Capital'!F$9</f>
        <v>139.894121040567</v>
      </c>
      <c r="G29" s="79" t="n">
        <f aca="false">'Working Capital'!G$9</f>
        <v>164.457226667284</v>
      </c>
      <c r="H29" s="79" t="n">
        <f aca="false">'Working Capital'!H$9</f>
        <v>183.087081898825</v>
      </c>
      <c r="I29" s="79" t="n">
        <f aca="false">'Working Capital'!I$9</f>
        <v>198.536322351475</v>
      </c>
      <c r="J29" s="79" t="n">
        <f aca="false">'Working Capital'!J$9</f>
        <v>214.114713411631</v>
      </c>
      <c r="K29" s="79" t="n">
        <f aca="false">'Working Capital'!K$9</f>
        <v>231.324054977782</v>
      </c>
      <c r="L29" s="79" t="n">
        <f aca="false">'Working Capital'!L$9</f>
        <v>249.389576349777</v>
      </c>
    </row>
    <row r="30" customFormat="false" ht="15" hidden="false" customHeight="false" outlineLevel="0" collapsed="false">
      <c r="A30" s="7" t="s">
        <v>790</v>
      </c>
      <c r="B30" s="14" t="s">
        <v>162</v>
      </c>
      <c r="C30" s="79" t="n">
        <f aca="false">'Working Capital'!C$10</f>
        <v>99.0681029260274</v>
      </c>
      <c r="D30" s="79" t="n">
        <f aca="false">'Working Capital'!D$10</f>
        <v>168.079084438356</v>
      </c>
      <c r="E30" s="79" t="n">
        <f aca="false">'Working Capital'!E$10</f>
        <v>236.872734171534</v>
      </c>
      <c r="F30" s="79" t="n">
        <f aca="false">'Working Capital'!F$10</f>
        <v>291.952948258575</v>
      </c>
      <c r="G30" s="79" t="n">
        <f aca="false">'Working Capital'!G$10</f>
        <v>343.215081740418</v>
      </c>
      <c r="H30" s="79" t="n">
        <f aca="false">'Working Capital'!H$10</f>
        <v>382.094779614938</v>
      </c>
      <c r="I30" s="79" t="n">
        <f aca="false">'Working Capital'!I$10</f>
        <v>414.336672733514</v>
      </c>
      <c r="J30" s="79" t="n">
        <f aca="false">'Working Capital'!J$10</f>
        <v>446.848097554707</v>
      </c>
      <c r="K30" s="79" t="n">
        <f aca="false">'Working Capital'!K$10</f>
        <v>482.763245171024</v>
      </c>
      <c r="L30" s="79" t="n">
        <f aca="false">'Working Capital'!L$10</f>
        <v>520.465202816926</v>
      </c>
    </row>
    <row r="31" customFormat="false" ht="15" hidden="false" customHeight="false" outlineLevel="0" collapsed="false">
      <c r="A31" s="7" t="s">
        <v>791</v>
      </c>
      <c r="B31" s="14" t="s">
        <v>162</v>
      </c>
      <c r="C31" s="79" t="n">
        <f aca="false">'Cash Flow'!C$25</f>
        <v>825.748092158957</v>
      </c>
      <c r="D31" s="79" t="n">
        <f aca="false">'Cash Flow'!D$25</f>
        <v>421.714714245198</v>
      </c>
      <c r="E31" s="79" t="n">
        <f aca="false">'Cash Flow'!E$25</f>
        <v>157.938160745103</v>
      </c>
      <c r="F31" s="79" t="n">
        <f aca="false">'Cash Flow'!F$25</f>
        <v>535.406815001803</v>
      </c>
      <c r="G31" s="79" t="n">
        <f aca="false">'Cash Flow'!G$25</f>
        <v>1104.5678411951</v>
      </c>
      <c r="H31" s="79" t="n">
        <f aca="false">'Cash Flow'!H$25</f>
        <v>1935.36931491817</v>
      </c>
      <c r="I31" s="79" t="n">
        <f aca="false">'Cash Flow'!I$25</f>
        <v>2531.02434271761</v>
      </c>
      <c r="J31" s="79" t="n">
        <f aca="false">'Cash Flow'!J$25</f>
        <v>3274.12253648642</v>
      </c>
      <c r="K31" s="79" t="n">
        <f aca="false">'Cash Flow'!K$25</f>
        <v>4205.4352018186</v>
      </c>
      <c r="L31" s="79" t="n">
        <f aca="false">'Cash Flow'!L$25</f>
        <v>5426.06567547277</v>
      </c>
    </row>
    <row r="32" customFormat="false" ht="15" hidden="false" customHeight="false" outlineLevel="0" collapsed="false">
      <c r="A32" s="35" t="s">
        <v>792</v>
      </c>
      <c r="B32" s="80" t="s">
        <v>162</v>
      </c>
      <c r="C32" s="67" t="n">
        <f aca="false">C28+C29+C30+C31</f>
        <v>1368.14595567896</v>
      </c>
      <c r="D32" s="67" t="n">
        <f aca="false">D28+D29+D30+D31</f>
        <v>1341.9477015452</v>
      </c>
      <c r="E32" s="67" t="n">
        <f aca="false">E28+E29+E30+E31</f>
        <v>1454.81638033425</v>
      </c>
      <c r="F32" s="67" t="n">
        <f aca="false">F28+F29+F30+F31</f>
        <v>2133.8492067175</v>
      </c>
      <c r="G32" s="67" t="n">
        <f aca="false">G28+G29+G30+G31</f>
        <v>2983.67041372389</v>
      </c>
      <c r="H32" s="67" t="n">
        <f aca="false">H28+H29+H30+H31</f>
        <v>4027.33823330996</v>
      </c>
      <c r="I32" s="67" t="n">
        <f aca="false">I28+I29+I30+I31</f>
        <v>4799.5176259336</v>
      </c>
      <c r="J32" s="67" t="n">
        <f aca="false">J28+J29+J30+J31</f>
        <v>5720.61587059844</v>
      </c>
      <c r="K32" s="67" t="n">
        <f aca="false">K28+K29+K30+K31</f>
        <v>6848.56396912996</v>
      </c>
      <c r="L32" s="67" t="n">
        <f aca="false">L28+L29+L30+L31</f>
        <v>8275.61266089544</v>
      </c>
    </row>
    <row r="34" customFormat="false" ht="15" hidden="false" customHeight="false" outlineLevel="0" collapsed="false">
      <c r="A34" s="35" t="s">
        <v>793</v>
      </c>
      <c r="B34" s="80" t="s">
        <v>162</v>
      </c>
      <c r="C34" s="67" t="n">
        <f aca="false">C25+C32</f>
        <v>11481.78067553</v>
      </c>
      <c r="D34" s="67" t="n">
        <f aca="false">D25+D32</f>
        <v>10841.7089600695</v>
      </c>
      <c r="E34" s="67" t="n">
        <f aca="false">E25+E32</f>
        <v>10993.5517574863</v>
      </c>
      <c r="F34" s="67" t="n">
        <f aca="false">F25+F32</f>
        <v>11180.656074738</v>
      </c>
      <c r="G34" s="67" t="n">
        <f aca="false">G25+G32</f>
        <v>11551.9727661287</v>
      </c>
      <c r="H34" s="67" t="n">
        <f aca="false">H25+H32</f>
        <v>12209.9089688335</v>
      </c>
      <c r="I34" s="67" t="n">
        <f aca="false">I25+I32</f>
        <v>12626.8943594387</v>
      </c>
      <c r="J34" s="67" t="n">
        <f aca="false">J25+J32</f>
        <v>13187.3709045934</v>
      </c>
      <c r="K34" s="67" t="n">
        <f aca="false">K25+K32</f>
        <v>13949.3624258135</v>
      </c>
      <c r="L34" s="67" t="n">
        <f aca="false">L25+L32</f>
        <v>15004.0218004209</v>
      </c>
    </row>
    <row r="36" customFormat="false" ht="15" hidden="false" customHeight="false" outlineLevel="0" collapsed="false">
      <c r="A36" s="19" t="s">
        <v>794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</row>
    <row r="37" customFormat="false" ht="15" hidden="false" customHeight="false" outlineLevel="0" collapsed="false">
      <c r="A37" s="6" t="s">
        <v>795</v>
      </c>
      <c r="B37" s="14" t="s">
        <v>162</v>
      </c>
      <c r="C37" s="102" t="n">
        <f aca="false">C34-C21</f>
        <v>0</v>
      </c>
      <c r="D37" s="102" t="n">
        <f aca="false">D34-D21</f>
        <v>0</v>
      </c>
      <c r="E37" s="102" t="n">
        <f aca="false">E34-E21</f>
        <v>0</v>
      </c>
      <c r="F37" s="102" t="n">
        <f aca="false">F34-F21</f>
        <v>0</v>
      </c>
      <c r="G37" s="102" t="n">
        <f aca="false">G34-G21</f>
        <v>0</v>
      </c>
      <c r="H37" s="102" t="n">
        <f aca="false">H34-H21</f>
        <v>0</v>
      </c>
      <c r="I37" s="102" t="n">
        <f aca="false">I34-I21</f>
        <v>0</v>
      </c>
      <c r="J37" s="102" t="n">
        <f aca="false">J34-J21</f>
        <v>0</v>
      </c>
      <c r="K37" s="102" t="n">
        <f aca="false">K34-K21</f>
        <v>0</v>
      </c>
      <c r="L37" s="102" t="n">
        <f aca="false">L34-L21</f>
        <v>0</v>
      </c>
    </row>
    <row r="38" customFormat="false" ht="15" hidden="false" customHeight="false" outlineLevel="0" collapsed="false">
      <c r="A38" s="6" t="s">
        <v>796</v>
      </c>
      <c r="C38" s="18" t="str">
        <f aca="false">IF(ABS(C37)&lt;0.01,"OK","ERROR")</f>
        <v>OK</v>
      </c>
      <c r="D38" s="18" t="str">
        <f aca="false">IF(ABS(D37)&lt;0.01,"OK","ERROR")</f>
        <v>OK</v>
      </c>
      <c r="E38" s="18" t="str">
        <f aca="false">IF(ABS(E37)&lt;0.01,"OK","ERROR")</f>
        <v>OK</v>
      </c>
      <c r="F38" s="18" t="str">
        <f aca="false">IF(ABS(F37)&lt;0.01,"OK","ERROR")</f>
        <v>OK</v>
      </c>
      <c r="G38" s="18" t="str">
        <f aca="false">IF(ABS(G37)&lt;0.01,"OK","ERROR")</f>
        <v>OK</v>
      </c>
      <c r="H38" s="18" t="str">
        <f aca="false">IF(ABS(H37)&lt;0.01,"OK","ERROR")</f>
        <v>OK</v>
      </c>
      <c r="I38" s="18" t="str">
        <f aca="false">IF(ABS(I37)&lt;0.01,"OK","ERROR")</f>
        <v>OK</v>
      </c>
      <c r="J38" s="18" t="str">
        <f aca="false">IF(ABS(J37)&lt;0.01,"OK","ERROR")</f>
        <v>OK</v>
      </c>
      <c r="K38" s="18" t="str">
        <f aca="false">IF(ABS(K37)&lt;0.01,"OK","ERROR")</f>
        <v>OK</v>
      </c>
      <c r="L38" s="18" t="str">
        <f aca="false">IF(ABS(L37)&lt;0.01,"OK","ERROR")</f>
        <v>OK</v>
      </c>
    </row>
    <row r="40" customFormat="false" ht="15" hidden="false" customHeight="false" outlineLevel="0" collapsed="false">
      <c r="A40" s="8" t="s">
        <v>797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</row>
    <row r="41" customFormat="false" ht="15" hidden="false" customHeight="false" outlineLevel="0" collapsed="false">
      <c r="A41" s="7" t="s">
        <v>798</v>
      </c>
      <c r="B41" s="14" t="s">
        <v>132</v>
      </c>
      <c r="C41" s="90" t="n">
        <f aca="false">IFERROR((C13+C16)/C10,0)</f>
        <v>2.557067114385</v>
      </c>
      <c r="D41" s="90" t="n">
        <f aca="false">IFERROR((D13+D16)/D10,0)</f>
        <v>3.8034992807377</v>
      </c>
      <c r="E41" s="90" t="n">
        <f aca="false">IFERROR((E13+E16)/E10,0)</f>
        <v>4.15676838937444</v>
      </c>
      <c r="F41" s="90" t="n">
        <f aca="false">IFERROR((F13+F16)/F10,0)</f>
        <v>3.19848293903586</v>
      </c>
      <c r="G41" s="90" t="n">
        <f aca="false">IFERROR((G13+G16)/G10,0)</f>
        <v>2.09318666008832</v>
      </c>
      <c r="H41" s="90" t="n">
        <f aca="false">IFERROR((H13+H16)/H10,0)</f>
        <v>1.23845985909269</v>
      </c>
      <c r="I41" s="90" t="n">
        <f aca="false">IFERROR((I13+I16)/I10,0)</f>
        <v>0.775523791259544</v>
      </c>
      <c r="J41" s="90" t="n">
        <f aca="false">IFERROR((J13+J16)/J10,0)</f>
        <v>0.4496676179237</v>
      </c>
      <c r="K41" s="90" t="n">
        <f aca="false">IFERROR((K13+K16)/K10,0)</f>
        <v>0.216811014569881</v>
      </c>
      <c r="L41" s="90" t="n">
        <f aca="false">IFERROR((L13+L16)/L10,0)</f>
        <v>0.0554390694384941</v>
      </c>
    </row>
    <row r="42" customFormat="false" ht="15" hidden="false" customHeight="false" outlineLevel="0" collapsed="false">
      <c r="A42" s="7" t="s">
        <v>799</v>
      </c>
      <c r="B42" s="14" t="s">
        <v>162</v>
      </c>
      <c r="C42" s="81" t="n">
        <f aca="false">C13+C16-C31</f>
        <v>7243.50763466543</v>
      </c>
      <c r="D42" s="81" t="n">
        <f aca="false">D13+D16-D31</f>
        <v>7827.54101257919</v>
      </c>
      <c r="E42" s="81" t="n">
        <f aca="false">E13+E16-E31</f>
        <v>8226.31756607928</v>
      </c>
      <c r="F42" s="81" t="n">
        <f aca="false">F13+F16-F31</f>
        <v>7428.59356821312</v>
      </c>
      <c r="G42" s="81" t="n">
        <f aca="false">G13+G16-G31</f>
        <v>6129.00696933738</v>
      </c>
      <c r="H42" s="81" t="n">
        <f aca="false">H13+H16-H31</f>
        <v>4290.15225112715</v>
      </c>
      <c r="I42" s="81" t="n">
        <f aca="false">I13+I16-I31</f>
        <v>2531.35886430405</v>
      </c>
      <c r="J42" s="81" t="n">
        <f aca="false">J13+J16-J31</f>
        <v>470.037196975091</v>
      </c>
      <c r="K42" s="81" t="n">
        <f aca="false">K13+K16-K31</f>
        <v>-1934.58405645372</v>
      </c>
      <c r="L42" s="81" t="n">
        <f aca="false">L13+L16-L31</f>
        <v>-4706.06567547277</v>
      </c>
    </row>
    <row r="43" customFormat="false" ht="15" hidden="false" customHeight="false" outlineLevel="0" collapsed="false">
      <c r="A43" s="7" t="s">
        <v>800</v>
      </c>
      <c r="B43" s="14" t="s">
        <v>132</v>
      </c>
      <c r="C43" s="90" t="n">
        <f aca="false">IFERROR(IF('P&amp;L'!C$20&gt;0,C42/'P&amp;L'!C$20,0),0)</f>
        <v>0</v>
      </c>
      <c r="D43" s="90" t="n">
        <f aca="false">IFERROR(IF('P&amp;L'!D$20&gt;0,D42/'P&amp;L'!D$20,0),0)</f>
        <v>15.1235742165214</v>
      </c>
      <c r="E43" s="90" t="n">
        <f aca="false">IFERROR(IF('P&amp;L'!E$20&gt;0,E42/'P&amp;L'!E$20,0),0)</f>
        <v>5.83712685872605</v>
      </c>
      <c r="F43" s="90" t="n">
        <f aca="false">IFERROR(IF('P&amp;L'!F$20&gt;0,F42/'P&amp;L'!F$20,0),0)</f>
        <v>3.6618394295837</v>
      </c>
      <c r="G43" s="90" t="n">
        <f aca="false">IFERROR(IF('P&amp;L'!G$20&gt;0,G42/'P&amp;L'!G$20,0),0)</f>
        <v>2.47354505163645</v>
      </c>
      <c r="H43" s="90" t="n">
        <f aca="false">IFERROR(IF('P&amp;L'!H$20&gt;0,H42/'P&amp;L'!H$20,0),0)</f>
        <v>1.47002151495136</v>
      </c>
      <c r="I43" s="90" t="n">
        <f aca="false">IFERROR(IF('P&amp;L'!I$20&gt;0,I42/'P&amp;L'!I$20,0),0)</f>
        <v>0.784911035230219</v>
      </c>
      <c r="J43" s="90" t="n">
        <f aca="false">IFERROR(IF('P&amp;L'!J$20&gt;0,J42/'P&amp;L'!J$20,0),0)</f>
        <v>0.133723118276141</v>
      </c>
      <c r="K43" s="90" t="n">
        <f aca="false">IFERROR(IF('P&amp;L'!K$20&gt;0,K42/'P&amp;L'!K$20,0),0)</f>
        <v>-0.50145648219388</v>
      </c>
      <c r="L43" s="90" t="n">
        <f aca="false">IFERROR(IF('P&amp;L'!L$20&gt;0,L42/'P&amp;L'!L$20,0),0)</f>
        <v>-1.1168141631576</v>
      </c>
      <c r="N43" s="14" t="s">
        <v>801</v>
      </c>
    </row>
    <row r="44" customFormat="false" ht="15" hidden="false" customHeight="false" outlineLevel="0" collapsed="false">
      <c r="A44" s="7" t="s">
        <v>802</v>
      </c>
      <c r="B44" s="14" t="s">
        <v>132</v>
      </c>
      <c r="C44" s="90" t="n">
        <f aca="false">IFERROR(C32/C19,0)</f>
        <v>2.39246329613752</v>
      </c>
      <c r="D44" s="90" t="n">
        <f aca="false">IFERROR(D32/D19,0)</f>
        <v>1.46087189750827</v>
      </c>
      <c r="E44" s="90" t="n">
        <f aca="false">IFERROR(E32/E19,0)</f>
        <v>1.19024505794727</v>
      </c>
      <c r="F44" s="90" t="n">
        <f aca="false">IFERROR(F32/F19,0)</f>
        <v>1.52230215706555</v>
      </c>
      <c r="G44" s="90" t="n">
        <f aca="false">IFERROR(G32/G19,0)</f>
        <v>1.88526509774624</v>
      </c>
      <c r="H44" s="90" t="n">
        <f aca="false">IFERROR(H32/H19,0)</f>
        <v>2.40070912435177</v>
      </c>
      <c r="I44" s="90" t="n">
        <f aca="false">IFERROR(I32/I19,0)</f>
        <v>2.73194161077912</v>
      </c>
      <c r="J44" s="90" t="n">
        <f aca="false">IFERROR(J32/J19,0)</f>
        <v>3.11460613958915</v>
      </c>
      <c r="K44" s="90" t="n">
        <f aca="false">IFERROR(K32/K19,0)</f>
        <v>3.55836517736502</v>
      </c>
      <c r="L44" s="90" t="n">
        <f aca="false">IFERROR(L32/L19,0)</f>
        <v>4.10335696129944</v>
      </c>
    </row>
    <row r="45" customFormat="false" ht="15" hidden="false" customHeight="false" outlineLevel="0" collapsed="false">
      <c r="A45" s="7" t="s">
        <v>803</v>
      </c>
      <c r="B45" s="14" t="s">
        <v>132</v>
      </c>
      <c r="C45" s="90" t="n">
        <f aca="false">IFERROR((C13+C19)/C10,0)</f>
        <v>2.63846242750486</v>
      </c>
      <c r="D45" s="90" t="n">
        <f aca="false">IFERROR((D13+D19)/D10,0)</f>
        <v>3.9988063889815</v>
      </c>
      <c r="E45" s="90" t="n">
        <f aca="false">IFERROR((E13+E19)/E10,0)</f>
        <v>4.45041204865291</v>
      </c>
      <c r="F45" s="90" t="n">
        <f aca="false">IFERROR((F13+F19)/F10,0)</f>
        <v>3.49034856623665</v>
      </c>
      <c r="G45" s="90" t="n">
        <f aca="false">IFERROR((G13+G19)/G10,0)</f>
        <v>2.34280572540096</v>
      </c>
      <c r="H45" s="90" t="n">
        <f aca="false">IFERROR((H13+H19)/H10,0)</f>
        <v>1.42895024628142</v>
      </c>
      <c r="I45" s="90" t="n">
        <f aca="false">IFERROR((I13+I19)/I10,0)</f>
        <v>0.93435711699645</v>
      </c>
      <c r="J45" s="90" t="n">
        <f aca="false">IFERROR((J13+J19)/J10,0)</f>
        <v>0.58378223245902</v>
      </c>
      <c r="K45" s="90" t="n">
        <f aca="false">IFERROR((K13+K19)/K10,0)</f>
        <v>0.331824600796394</v>
      </c>
      <c r="L45" s="90" t="n">
        <f aca="false">IFERROR((L13+L19)/L10,0)</f>
        <v>0.15529028673641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O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5"/>
    <col collapsed="false" customWidth="true" hidden="false" outlineLevel="0" max="16" min="3" style="0" width="13"/>
  </cols>
  <sheetData>
    <row r="1" customFormat="false" ht="24" hidden="false" customHeight="true" outlineLevel="0" collapsed="false">
      <c r="A1" s="15" t="s">
        <v>804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" hidden="false" customHeight="false" outlineLevel="0" collapsed="false">
      <c r="A2" s="16" t="s">
        <v>805</v>
      </c>
    </row>
    <row r="4" customFormat="false" ht="15" hidden="false" customHeight="false" outlineLevel="0" collapsed="false">
      <c r="A4" s="50" t="s">
        <v>473</v>
      </c>
      <c r="B4" s="50" t="s">
        <v>381</v>
      </c>
      <c r="C4" s="51" t="s">
        <v>241</v>
      </c>
      <c r="D4" s="51" t="s">
        <v>242</v>
      </c>
      <c r="E4" s="51" t="s">
        <v>243</v>
      </c>
      <c r="F4" s="51" t="s">
        <v>244</v>
      </c>
      <c r="G4" s="51" t="s">
        <v>245</v>
      </c>
      <c r="H4" s="51" t="s">
        <v>246</v>
      </c>
      <c r="I4" s="51" t="s">
        <v>247</v>
      </c>
      <c r="J4" s="51" t="s">
        <v>248</v>
      </c>
      <c r="K4" s="51" t="s">
        <v>249</v>
      </c>
      <c r="L4" s="51" t="s">
        <v>250</v>
      </c>
    </row>
    <row r="5" customFormat="false" ht="15" hidden="false" customHeight="false" outlineLevel="0" collapsed="false">
      <c r="A5" s="52" t="s">
        <v>251</v>
      </c>
      <c r="B5" s="9"/>
      <c r="C5" s="53" t="s">
        <v>252</v>
      </c>
      <c r="D5" s="53" t="s">
        <v>253</v>
      </c>
      <c r="E5" s="53" t="s">
        <v>254</v>
      </c>
      <c r="F5" s="53" t="s">
        <v>255</v>
      </c>
      <c r="G5" s="53" t="s">
        <v>256</v>
      </c>
      <c r="H5" s="53" t="s">
        <v>257</v>
      </c>
      <c r="I5" s="53" t="s">
        <v>258</v>
      </c>
      <c r="J5" s="53" t="s">
        <v>259</v>
      </c>
      <c r="K5" s="53" t="s">
        <v>260</v>
      </c>
      <c r="L5" s="53" t="s">
        <v>261</v>
      </c>
    </row>
    <row r="6" customFormat="false" ht="15" hidden="false" customHeight="false" outlineLevel="0" collapsed="false">
      <c r="A6" s="8" t="s">
        <v>806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customFormat="false" ht="15" hidden="false" customHeight="false" outlineLevel="0" collapsed="false">
      <c r="A7" s="7" t="s">
        <v>749</v>
      </c>
      <c r="B7" s="14" t="s">
        <v>162</v>
      </c>
      <c r="C7" s="79" t="n">
        <f aca="false">'P&amp;L'!C$20</f>
        <v>-386.36060876</v>
      </c>
      <c r="D7" s="79" t="n">
        <f aca="false">'P&amp;L'!D$20</f>
        <v>517.57216254</v>
      </c>
      <c r="E7" s="79" t="n">
        <f aca="false">'P&amp;L'!E$20</f>
        <v>1409.30936832075</v>
      </c>
      <c r="F7" s="79" t="n">
        <f aca="false">'P&amp;L'!F$20</f>
        <v>2028.65082182417</v>
      </c>
      <c r="G7" s="79" t="n">
        <f aca="false">'P&amp;L'!G$20</f>
        <v>2477.82306017938</v>
      </c>
      <c r="H7" s="79" t="n">
        <f aca="false">'P&amp;L'!H$20</f>
        <v>2918.42820495664</v>
      </c>
      <c r="I7" s="79" t="n">
        <f aca="false">'P&amp;L'!I$20</f>
        <v>3225.02646884253</v>
      </c>
      <c r="J7" s="79" t="n">
        <f aca="false">'P&amp;L'!J$20</f>
        <v>3515.00326222168</v>
      </c>
      <c r="K7" s="79" t="n">
        <f aca="false">'P&amp;L'!K$20</f>
        <v>3857.93009991592</v>
      </c>
      <c r="L7" s="79" t="n">
        <f aca="false">'P&amp;L'!L$20</f>
        <v>4213.83058231209</v>
      </c>
    </row>
    <row r="8" customFormat="false" ht="15" hidden="false" customHeight="false" outlineLevel="0" collapsed="false">
      <c r="A8" s="7" t="s">
        <v>807</v>
      </c>
      <c r="B8" s="14" t="s">
        <v>162</v>
      </c>
      <c r="C8" s="81" t="n">
        <f aca="false">-'P&amp;L'!C$34</f>
        <v>-0</v>
      </c>
      <c r="D8" s="81" t="n">
        <f aca="false">-'P&amp;L'!D$34</f>
        <v>-0</v>
      </c>
      <c r="E8" s="81" t="n">
        <f aca="false">-'P&amp;L'!E$34</f>
        <v>-0</v>
      </c>
      <c r="F8" s="81" t="n">
        <f aca="false">-'P&amp;L'!F$34</f>
        <v>-0</v>
      </c>
      <c r="G8" s="81" t="n">
        <f aca="false">-'P&amp;L'!G$34</f>
        <v>-0</v>
      </c>
      <c r="H8" s="81" t="n">
        <f aca="false">-'P&amp;L'!H$34</f>
        <v>-0.375197719308429</v>
      </c>
      <c r="I8" s="81" t="n">
        <f aca="false">-'P&amp;L'!I$34</f>
        <v>-504.782690670117</v>
      </c>
      <c r="J8" s="81" t="n">
        <f aca="false">-'P&amp;L'!J$34</f>
        <v>-604.9877011875</v>
      </c>
      <c r="K8" s="81" t="n">
        <f aca="false">-'P&amp;L'!K$34</f>
        <v>-722.21733242952</v>
      </c>
      <c r="L8" s="81" t="n">
        <f aca="false">-'P&amp;L'!L$34</f>
        <v>-845.309231124009</v>
      </c>
    </row>
    <row r="9" customFormat="false" ht="15" hidden="false" customHeight="false" outlineLevel="0" collapsed="false">
      <c r="A9" s="7" t="s">
        <v>808</v>
      </c>
      <c r="B9" s="14" t="s">
        <v>162</v>
      </c>
      <c r="C9" s="81" t="n">
        <f aca="false">-'Working Capital'!C$20</f>
        <v>-285.541251179178</v>
      </c>
      <c r="D9" s="81" t="n">
        <f aca="false">-'Working Capital'!D$20</f>
        <v>-211.098049820137</v>
      </c>
      <c r="E9" s="81" t="n">
        <f aca="false">-'Working Capital'!E$20</f>
        <v>-207.955851232873</v>
      </c>
      <c r="F9" s="81" t="n">
        <f aca="false">-'Working Capital'!F$20</f>
        <v>-167.122097852762</v>
      </c>
      <c r="G9" s="81" t="n">
        <f aca="false">-'Working Capital'!G$20</f>
        <v>-144.758869914292</v>
      </c>
      <c r="H9" s="81" t="n">
        <f aca="false">-'Working Capital'!H$20</f>
        <v>-117.930867853623</v>
      </c>
      <c r="I9" s="81" t="n">
        <f aca="false">-'Working Capital'!I$20</f>
        <v>-97.2707005507439</v>
      </c>
      <c r="J9" s="81" t="n">
        <f aca="false">-'Working Capital'!J$20</f>
        <v>-98.1096179751437</v>
      </c>
      <c r="K9" s="81" t="n">
        <f aca="false">-'Working Capital'!K$20</f>
        <v>-108.703705174963</v>
      </c>
      <c r="L9" s="81" t="n">
        <f aca="false">-'Working Capital'!L$20</f>
        <v>-114.26515139205</v>
      </c>
    </row>
    <row r="10" customFormat="false" ht="15" hidden="false" customHeight="false" outlineLevel="0" collapsed="false">
      <c r="A10" s="35" t="s">
        <v>809</v>
      </c>
      <c r="B10" s="80" t="s">
        <v>162</v>
      </c>
      <c r="C10" s="67" t="n">
        <f aca="false">SUM(C7:C9)</f>
        <v>-671.901859939178</v>
      </c>
      <c r="D10" s="67" t="n">
        <f aca="false">SUM(D7:D9)</f>
        <v>306.474112719863</v>
      </c>
      <c r="E10" s="67" t="n">
        <f aca="false">SUM(E7:E9)</f>
        <v>1201.35351708788</v>
      </c>
      <c r="F10" s="67" t="n">
        <f aca="false">SUM(F7:F9)</f>
        <v>1861.52872397141</v>
      </c>
      <c r="G10" s="67" t="n">
        <f aca="false">SUM(G7:G9)</f>
        <v>2333.06419026508</v>
      </c>
      <c r="H10" s="67" t="n">
        <f aca="false">SUM(H7:H9)</f>
        <v>2800.12213938371</v>
      </c>
      <c r="I10" s="67" t="n">
        <f aca="false">SUM(I7:I9)</f>
        <v>2622.97307762167</v>
      </c>
      <c r="J10" s="67" t="n">
        <f aca="false">SUM(J7:J9)</f>
        <v>2811.90594305904</v>
      </c>
      <c r="K10" s="67" t="n">
        <f aca="false">SUM(K7:K9)</f>
        <v>3027.00906231144</v>
      </c>
      <c r="L10" s="67" t="n">
        <f aca="false">SUM(L7:L9)</f>
        <v>3254.25619979603</v>
      </c>
    </row>
    <row r="12" customFormat="false" ht="15" hidden="false" customHeight="false" outlineLevel="0" collapsed="false">
      <c r="A12" s="8" t="s">
        <v>810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customFormat="false" ht="15" hidden="false" customHeight="false" outlineLevel="0" collapsed="false">
      <c r="A13" s="7" t="s">
        <v>811</v>
      </c>
      <c r="B13" s="14" t="s">
        <v>162</v>
      </c>
      <c r="C13" s="79" t="n">
        <f aca="false">'Debt Schedule'!C$10</f>
        <v>833.582490633621</v>
      </c>
      <c r="D13" s="79" t="n">
        <f aca="false">'Debt Schedule'!D$10</f>
        <v>833.582490633621</v>
      </c>
      <c r="E13" s="79" t="n">
        <f aca="false">'Debt Schedule'!E$10</f>
        <v>833.582490633621</v>
      </c>
      <c r="F13" s="79" t="n">
        <f aca="false">'Debt Schedule'!F$10</f>
        <v>808.575015914613</v>
      </c>
      <c r="G13" s="79" t="n">
        <f aca="false">'Debt Schedule'!G$10</f>
        <v>741.888416663923</v>
      </c>
      <c r="H13" s="79" t="n">
        <f aca="false">'Debt Schedule'!H$10</f>
        <v>646.026430241057</v>
      </c>
      <c r="I13" s="79" t="n">
        <f aca="false">'Debt Schedule'!I$10</f>
        <v>529.32488155235</v>
      </c>
      <c r="J13" s="79" t="n">
        <f aca="false">'Debt Schedule'!J$10</f>
        <v>395.95168305097</v>
      </c>
      <c r="K13" s="79" t="n">
        <f aca="false">'Debt Schedule'!K$10</f>
        <v>245.906834736918</v>
      </c>
      <c r="L13" s="79" t="n">
        <f aca="false">'Debt Schedule'!L$10</f>
        <v>83.3582490633621</v>
      </c>
    </row>
    <row r="14" customFormat="false" ht="15" hidden="false" customHeight="false" outlineLevel="0" collapsed="false">
      <c r="A14" s="7" t="s">
        <v>812</v>
      </c>
      <c r="B14" s="14" t="s">
        <v>162</v>
      </c>
      <c r="C14" s="79" t="n">
        <f aca="false">'Debt Schedule'!C$9</f>
        <v>0</v>
      </c>
      <c r="D14" s="79" t="n">
        <f aca="false">'Debt Schedule'!D$9</f>
        <v>0</v>
      </c>
      <c r="E14" s="79" t="n">
        <f aca="false">'Debt Schedule'!E$9</f>
        <v>0</v>
      </c>
      <c r="F14" s="79" t="n">
        <f aca="false">'Debt Schedule'!F$9</f>
        <v>465.255343609463</v>
      </c>
      <c r="G14" s="79" t="n">
        <f aca="false">'Debt Schedule'!G$9</f>
        <v>775.425572682439</v>
      </c>
      <c r="H14" s="79" t="n">
        <f aca="false">'Debt Schedule'!H$9</f>
        <v>1008.05324448717</v>
      </c>
      <c r="I14" s="79" t="n">
        <f aca="false">'Debt Schedule'!I$9</f>
        <v>1163.13835902366</v>
      </c>
      <c r="J14" s="79" t="n">
        <f aca="false">'Debt Schedule'!J$9</f>
        <v>1318.22347356015</v>
      </c>
      <c r="K14" s="79" t="n">
        <f aca="false">'Debt Schedule'!K$9</f>
        <v>1473.30858809663</v>
      </c>
      <c r="L14" s="79" t="n">
        <f aca="false">'Debt Schedule'!L$9</f>
        <v>1550.85114536488</v>
      </c>
    </row>
    <row r="15" customFormat="false" ht="15" hidden="false" customHeight="false" outlineLevel="0" collapsed="false">
      <c r="A15" s="35" t="s">
        <v>639</v>
      </c>
      <c r="B15" s="80" t="s">
        <v>162</v>
      </c>
      <c r="C15" s="67" t="n">
        <f aca="false">C13+C14</f>
        <v>833.582490633621</v>
      </c>
      <c r="D15" s="67" t="n">
        <f aca="false">D13+D14</f>
        <v>833.582490633621</v>
      </c>
      <c r="E15" s="67" t="n">
        <f aca="false">E13+E14</f>
        <v>833.582490633621</v>
      </c>
      <c r="F15" s="67" t="n">
        <f aca="false">F13+F14</f>
        <v>1273.83035952408</v>
      </c>
      <c r="G15" s="67" t="n">
        <f aca="false">G13+G14</f>
        <v>1517.31398934636</v>
      </c>
      <c r="H15" s="67" t="n">
        <f aca="false">H13+H14</f>
        <v>1654.07967472823</v>
      </c>
      <c r="I15" s="67" t="n">
        <f aca="false">I13+I14</f>
        <v>1692.46324057601</v>
      </c>
      <c r="J15" s="67" t="n">
        <f aca="false">J13+J14</f>
        <v>1714.17515661112</v>
      </c>
      <c r="K15" s="67" t="n">
        <f aca="false">K13+K14</f>
        <v>1719.21542283355</v>
      </c>
      <c r="L15" s="67" t="n">
        <f aca="false">L13+L14</f>
        <v>1634.20939442824</v>
      </c>
    </row>
    <row r="17" customFormat="false" ht="15" hidden="false" customHeight="false" outlineLevel="0" collapsed="false">
      <c r="A17" s="19" t="s">
        <v>813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</row>
    <row r="18" customFormat="false" ht="15" hidden="false" customHeight="false" outlineLevel="0" collapsed="false">
      <c r="A18" s="35" t="s">
        <v>814</v>
      </c>
      <c r="B18" s="80" t="s">
        <v>132</v>
      </c>
      <c r="C18" s="103" t="n">
        <f aca="false">IFERROR(C10/C15,0)</f>
        <v>-0.806041234657476</v>
      </c>
      <c r="D18" s="103" t="n">
        <f aca="false">IFERROR(D10/D15,0)</f>
        <v>0.3676590093524</v>
      </c>
      <c r="E18" s="103" t="n">
        <f aca="false">IFERROR(E10/E15,0)</f>
        <v>1.44119331990132</v>
      </c>
      <c r="F18" s="103" t="n">
        <f aca="false">IFERROR(F10/F15,0)</f>
        <v>1.46136313211039</v>
      </c>
      <c r="G18" s="103" t="n">
        <f aca="false">IFERROR(G10/G15,0)</f>
        <v>1.53762781246757</v>
      </c>
      <c r="H18" s="103" t="n">
        <f aca="false">IFERROR(H10/H15,0)</f>
        <v>1.69285807822032</v>
      </c>
      <c r="I18" s="103" t="n">
        <f aca="false">IFERROR(I10/I15,0)</f>
        <v>1.54979618743682</v>
      </c>
      <c r="J18" s="103" t="n">
        <f aca="false">IFERROR(J10/J15,0)</f>
        <v>1.64038425840806</v>
      </c>
      <c r="K18" s="103" t="n">
        <f aca="false">IFERROR(K10/K15,0)</f>
        <v>1.76069212857713</v>
      </c>
      <c r="L18" s="103" t="n">
        <f aca="false">IFERROR(L10/L15,0)</f>
        <v>1.99133367540981</v>
      </c>
    </row>
    <row r="19" customFormat="false" ht="15" hidden="false" customHeight="false" outlineLevel="0" collapsed="false">
      <c r="A19" s="6" t="s">
        <v>815</v>
      </c>
      <c r="B19" s="14" t="s">
        <v>132</v>
      </c>
      <c r="C19" s="104" t="n">
        <f aca="false">IFERROR(('P&amp;L'!C$38+'P&amp;L'!C$23+C13)/C15,0)</f>
        <v>-0.506951157813769</v>
      </c>
      <c r="D19" s="104" t="n">
        <f aca="false">IFERROR(('P&amp;L'!D$38+'P&amp;L'!D$23+D13)/D15,0)</f>
        <v>0.552611370459394</v>
      </c>
      <c r="E19" s="104" t="n">
        <f aca="false">IFERROR(('P&amp;L'!E$38+'P&amp;L'!E$23+E13)/E15,0)</f>
        <v>1.60375173824078</v>
      </c>
      <c r="F19" s="104" t="n">
        <f aca="false">IFERROR(('P&amp;L'!F$38+'P&amp;L'!F$23+F13)/F15,0)</f>
        <v>1.53162138681724</v>
      </c>
      <c r="G19" s="104" t="n">
        <f aca="false">IFERROR(('P&amp;L'!G$38+'P&amp;L'!G$23+G13)/G15,0)</f>
        <v>1.57846238616117</v>
      </c>
      <c r="H19" s="104" t="n">
        <f aca="false">IFERROR(('P&amp;L'!H$38+'P&amp;L'!H$23+H13)/H15,0)</f>
        <v>1.71409699941037</v>
      </c>
      <c r="I19" s="104" t="n">
        <f aca="false">IFERROR(('P&amp;L'!I$38+'P&amp;L'!I$23+I13)/I15,0)</f>
        <v>1.55834627006421</v>
      </c>
      <c r="J19" s="104" t="n">
        <f aca="false">IFERROR(('P&amp;L'!J$38+'P&amp;L'!J$23+J13)/J15,0)</f>
        <v>1.64931544488343</v>
      </c>
      <c r="K19" s="104" t="n">
        <f aca="false">IFERROR(('P&amp;L'!K$38+'P&amp;L'!K$23+K13)/K15,0)</f>
        <v>1.77575929516424</v>
      </c>
      <c r="L19" s="104" t="n">
        <f aca="false">IFERROR(('P&amp;L'!L$38+'P&amp;L'!L$23+L13)/L15,0)</f>
        <v>2.01058772663442</v>
      </c>
      <c r="N19" s="14" t="s">
        <v>816</v>
      </c>
    </row>
    <row r="20" customFormat="false" ht="15" hidden="false" customHeight="false" outlineLevel="0" collapsed="false">
      <c r="A20" s="7" t="s">
        <v>817</v>
      </c>
      <c r="B20" s="14" t="s">
        <v>132</v>
      </c>
      <c r="C20" s="90" t="n">
        <f aca="false">IFERROR(C7/'P&amp;L'!C$27,0)</f>
        <v>-0.444190942157271</v>
      </c>
      <c r="D20" s="90" t="n">
        <f aca="false">IFERROR(D7/'P&amp;L'!D$27,0)</f>
        <v>0.581210341275999</v>
      </c>
      <c r="E20" s="90" t="n">
        <f aca="false">IFERROR(E7/'P&amp;L'!E$27,0)</f>
        <v>1.55547332230345</v>
      </c>
      <c r="F20" s="90" t="n">
        <f aca="false">IFERROR(F7/'P&amp;L'!F$27,0)</f>
        <v>2.28915683298705</v>
      </c>
      <c r="G20" s="90" t="n">
        <f aca="false">IFERROR(G7/'P&amp;L'!G$27,0)</f>
        <v>3.0045566423775</v>
      </c>
      <c r="H20" s="90" t="n">
        <f aca="false">IFERROR(H7/'P&amp;L'!H$27,0)</f>
        <v>4.00428426284072</v>
      </c>
      <c r="I20" s="90" t="n">
        <f aca="false">IFERROR(I7/'P&amp;L'!I$27,0)</f>
        <v>5.26857601452804</v>
      </c>
      <c r="J20" s="90" t="n">
        <f aca="false">IFERROR(J7/'P&amp;L'!J$27,0)</f>
        <v>7.34201755662018</v>
      </c>
      <c r="K20" s="90" t="n">
        <f aca="false">IFERROR(K7/'P&amp;L'!K$27,0)</f>
        <v>11.736689634104</v>
      </c>
      <c r="L20" s="90" t="n">
        <f aca="false">IFERROR(L7/'P&amp;L'!L$27,0)</f>
        <v>25.3603453699443</v>
      </c>
    </row>
    <row r="21" customFormat="false" ht="15" hidden="false" customHeight="false" outlineLevel="0" collapsed="false">
      <c r="A21" s="7" t="s">
        <v>818</v>
      </c>
      <c r="C21" s="101" t="str">
        <f aca="false">IF(C14&gt;0,"Yes","No - moratorium")</f>
        <v>No - moratorium</v>
      </c>
      <c r="D21" s="101" t="str">
        <f aca="false">IF(D14&gt;0,"Yes","No - moratorium")</f>
        <v>No - moratorium</v>
      </c>
      <c r="E21" s="101" t="str">
        <f aca="false">IF(E14&gt;0,"Yes","No - moratorium")</f>
        <v>No - moratorium</v>
      </c>
      <c r="F21" s="101" t="str">
        <f aca="false">IF(F14&gt;0,"Yes","No - moratorium")</f>
        <v>Yes</v>
      </c>
      <c r="G21" s="101" t="str">
        <f aca="false">IF(G14&gt;0,"Yes","No - moratorium")</f>
        <v>Yes</v>
      </c>
      <c r="H21" s="101" t="str">
        <f aca="false">IF(H14&gt;0,"Yes","No - moratorium")</f>
        <v>Yes</v>
      </c>
      <c r="I21" s="101" t="str">
        <f aca="false">IF(I14&gt;0,"Yes","No - moratorium")</f>
        <v>Yes</v>
      </c>
      <c r="J21" s="101" t="str">
        <f aca="false">IF(J14&gt;0,"Yes","No - moratorium")</f>
        <v>Yes</v>
      </c>
      <c r="K21" s="101" t="str">
        <f aca="false">IF(K14&gt;0,"Yes","No - moratorium")</f>
        <v>Yes</v>
      </c>
      <c r="L21" s="101" t="str">
        <f aca="false">IF(L14&gt;0,"Yes","No - moratorium")</f>
        <v>Yes</v>
      </c>
    </row>
    <row r="22" customFormat="false" ht="15" hidden="false" customHeight="false" outlineLevel="0" collapsed="false">
      <c r="A22" s="6" t="s">
        <v>819</v>
      </c>
      <c r="C22" s="18" t="str">
        <f aca="false">IF(C14&lt;=0,"n/a",IF(C18&gt;=Assumptions!$C$126,"PASS","BREACH"))</f>
        <v>n/a</v>
      </c>
      <c r="D22" s="18" t="str">
        <f aca="false">IF(D14&lt;=0,"n/a",IF(D18&gt;=Assumptions!$C$126,"PASS","BREACH"))</f>
        <v>n/a</v>
      </c>
      <c r="E22" s="18" t="str">
        <f aca="false">IF(E14&lt;=0,"n/a",IF(E18&gt;=Assumptions!$C$126,"PASS","BREACH"))</f>
        <v>n/a</v>
      </c>
      <c r="F22" s="18" t="str">
        <f aca="false">IF(F14&lt;=0,"n/a",IF(F18&gt;=Assumptions!$C$126,"PASS","BREACH"))</f>
        <v>PASS</v>
      </c>
      <c r="G22" s="18" t="str">
        <f aca="false">IF(G14&lt;=0,"n/a",IF(G18&gt;=Assumptions!$C$126,"PASS","BREACH"))</f>
        <v>PASS</v>
      </c>
      <c r="H22" s="18" t="str">
        <f aca="false">IF(H14&lt;=0,"n/a",IF(H18&gt;=Assumptions!$C$126,"PASS","BREACH"))</f>
        <v>PASS</v>
      </c>
      <c r="I22" s="18" t="str">
        <f aca="false">IF(I14&lt;=0,"n/a",IF(I18&gt;=Assumptions!$C$126,"PASS","BREACH"))</f>
        <v>PASS</v>
      </c>
      <c r="J22" s="18" t="str">
        <f aca="false">IF(J14&lt;=0,"n/a",IF(J18&gt;=Assumptions!$C$126,"PASS","BREACH"))</f>
        <v>PASS</v>
      </c>
      <c r="K22" s="18" t="str">
        <f aca="false">IF(K14&lt;=0,"n/a",IF(K18&gt;=Assumptions!$C$126,"PASS","BREACH"))</f>
        <v>PASS</v>
      </c>
      <c r="L22" s="18" t="str">
        <f aca="false">IF(L14&lt;=0,"n/a",IF(L18&gt;=Assumptions!$C$126,"PASS","BREACH"))</f>
        <v>PASS</v>
      </c>
    </row>
    <row r="23" customFormat="false" ht="15" hidden="false" customHeight="false" outlineLevel="0" collapsed="false">
      <c r="A23" s="7" t="s">
        <v>820</v>
      </c>
      <c r="B23" s="14" t="s">
        <v>132</v>
      </c>
      <c r="C23" s="90" t="n">
        <f aca="false">IF(C14&gt;0,C18,99)</f>
        <v>99</v>
      </c>
      <c r="D23" s="90" t="n">
        <f aca="false">IF(D14&gt;0,D18,99)</f>
        <v>99</v>
      </c>
      <c r="E23" s="90" t="n">
        <f aca="false">IF(E14&gt;0,E18,99)</f>
        <v>99</v>
      </c>
      <c r="F23" s="90" t="n">
        <f aca="false">IF(F14&gt;0,F18,99)</f>
        <v>1.46136313211039</v>
      </c>
      <c r="G23" s="90" t="n">
        <f aca="false">IF(G14&gt;0,G18,99)</f>
        <v>1.53762781246757</v>
      </c>
      <c r="H23" s="90" t="n">
        <f aca="false">IF(H14&gt;0,H18,99)</f>
        <v>1.69285807822032</v>
      </c>
      <c r="I23" s="90" t="n">
        <f aca="false">IF(I14&gt;0,I18,99)</f>
        <v>1.54979618743682</v>
      </c>
      <c r="J23" s="90" t="n">
        <f aca="false">IF(J14&gt;0,J18,99)</f>
        <v>1.64038425840806</v>
      </c>
      <c r="K23" s="90" t="n">
        <f aca="false">IF(K14&gt;0,K18,99)</f>
        <v>1.76069212857713</v>
      </c>
      <c r="L23" s="90" t="n">
        <f aca="false">IF(L14&gt;0,L18,99)</f>
        <v>1.99133367540981</v>
      </c>
      <c r="N23" s="14" t="s">
        <v>821</v>
      </c>
    </row>
    <row r="25" customFormat="false" ht="15" hidden="false" customHeight="false" outlineLevel="0" collapsed="false">
      <c r="A25" s="8" t="s">
        <v>822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customFormat="false" ht="15" hidden="false" customHeight="false" outlineLevel="0" collapsed="false">
      <c r="A26" s="6" t="s">
        <v>823</v>
      </c>
      <c r="C26" s="105" t="n">
        <f aca="false">MIN(C23:L23)</f>
        <v>1.46136313211039</v>
      </c>
    </row>
    <row r="27" customFormat="false" ht="15" hidden="false" customHeight="false" outlineLevel="0" collapsed="false">
      <c r="A27" s="6" t="s">
        <v>824</v>
      </c>
      <c r="C27" s="105" t="n">
        <f aca="false">SUMIF(C14:L14,"&gt;0",C18:L18)/COUNTIF(C14:L14,"&gt;0")</f>
        <v>1.66200789609001</v>
      </c>
    </row>
    <row r="28" customFormat="false" ht="15" hidden="false" customHeight="false" outlineLevel="0" collapsed="false">
      <c r="A28" s="6" t="s">
        <v>825</v>
      </c>
      <c r="C28" s="106" t="n">
        <f aca="false">COUNTIF(C22:L22,"BREACH")</f>
        <v>0</v>
      </c>
    </row>
    <row r="29" customFormat="false" ht="15" hidden="false" customHeight="false" outlineLevel="0" collapsed="false">
      <c r="A29" s="6" t="s">
        <v>826</v>
      </c>
      <c r="C29" s="18" t="str">
        <f aca="false">IF(C28=0,"BANKABLE - no covenant breach in any tested year","NOT BANKABLE AS STRUCTURED - "&amp;C28&amp;" breach year(s)")</f>
        <v>BANKABLE - no covenant breach in any tested year</v>
      </c>
    </row>
    <row r="31" customFormat="false" ht="15" hidden="false" customHeight="false" outlineLevel="0" collapsed="false">
      <c r="A31" s="8" t="s">
        <v>827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</row>
    <row r="32" customFormat="false" ht="27.75" hidden="false" customHeight="true" outlineLevel="0" collapsed="false">
      <c r="A32" s="44" t="s">
        <v>828</v>
      </c>
      <c r="B32" s="44" t="s">
        <v>829</v>
      </c>
      <c r="C32" s="44" t="s">
        <v>830</v>
      </c>
      <c r="D32" s="44" t="s">
        <v>831</v>
      </c>
    </row>
    <row r="33" customFormat="false" ht="15" hidden="false" customHeight="false" outlineLevel="0" collapsed="false">
      <c r="A33" s="7" t="s">
        <v>832</v>
      </c>
      <c r="B33" s="94" t="s">
        <v>833</v>
      </c>
      <c r="C33" s="107" t="n">
        <f aca="false">'Balance Sheet'!H$43</f>
        <v>1.47002151495136</v>
      </c>
      <c r="D33" s="108" t="str">
        <f aca="false">IF(C33&lt;=3.5,"PASS","BREACH")</f>
        <v>PASS</v>
      </c>
    </row>
    <row r="34" customFormat="false" ht="15" hidden="false" customHeight="false" outlineLevel="0" collapsed="false">
      <c r="A34" s="7" t="s">
        <v>834</v>
      </c>
      <c r="B34" s="94" t="s">
        <v>835</v>
      </c>
      <c r="C34" s="107" t="n">
        <f aca="false">MAX('Balance Sheet'!G45:L45)</f>
        <v>2.34280572540096</v>
      </c>
      <c r="D34" s="108" t="str">
        <f aca="false">IF(C34&lt;=2.5,"PASS","BREACH")</f>
        <v>PASS</v>
      </c>
    </row>
    <row r="35" customFormat="false" ht="15" hidden="false" customHeight="false" outlineLevel="0" collapsed="false">
      <c r="A35" s="7" t="s">
        <v>836</v>
      </c>
      <c r="B35" s="94" t="s">
        <v>837</v>
      </c>
      <c r="C35" s="107" t="n">
        <f aca="false">MIN('Balance Sheet'!F$44:L$44)</f>
        <v>1.52230215706555</v>
      </c>
      <c r="D35" s="108" t="str">
        <f aca="false">IF(C35&gt;=1.1,"PASS","BREACH")</f>
        <v>PASS</v>
      </c>
    </row>
    <row r="36" customFormat="false" ht="15" hidden="false" customHeight="false" outlineLevel="0" collapsed="false">
      <c r="A36" s="7" t="s">
        <v>838</v>
      </c>
      <c r="B36" s="94" t="s">
        <v>839</v>
      </c>
      <c r="C36" s="75" t="n">
        <f aca="false">('Capex &amp; Funding'!$C$33+'Capex &amp; Funding'!$C$38)/'Capex &amp; Funding'!$C$39</f>
        <v>0.396908357548163</v>
      </c>
      <c r="D36" s="108" t="str">
        <f aca="false">IF(C36&gt;=0.3,"PASS","BREACH")</f>
        <v>PASS</v>
      </c>
    </row>
    <row r="37" customFormat="false" ht="15" hidden="false" customHeight="false" outlineLevel="0" collapsed="false">
      <c r="A37" s="7" t="s">
        <v>840</v>
      </c>
      <c r="B37" s="94" t="s">
        <v>841</v>
      </c>
      <c r="C37" s="43" t="n">
        <f aca="false">MIN('Cash Flow'!C25:L25)</f>
        <v>157.938160745103</v>
      </c>
      <c r="D37" s="108" t="str">
        <f aca="false">IF(C37&gt;=150,"PASS","BREACH")</f>
        <v>PASS</v>
      </c>
    </row>
    <row r="39" customFormat="false" ht="15" hidden="false" customHeight="false" outlineLevel="0" collapsed="false">
      <c r="A39" s="8" t="s">
        <v>842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</row>
    <row r="40" customFormat="false" ht="15" hidden="false" customHeight="false" outlineLevel="0" collapsed="false">
      <c r="A40" s="109" t="s">
        <v>843</v>
      </c>
      <c r="B40" s="94" t="s">
        <v>844</v>
      </c>
      <c r="C40" s="110" t="n">
        <f aca="false">MAX('Balance Sheet'!C45:F45)</f>
        <v>4.45041204865291</v>
      </c>
      <c r="D40" s="111" t="s">
        <v>845</v>
      </c>
    </row>
    <row r="41" customFormat="false" ht="15" hidden="false" customHeight="false" outlineLevel="0" collapsed="false">
      <c r="A41" s="7" t="s">
        <v>846</v>
      </c>
      <c r="C41" s="43" t="n">
        <f aca="false">MATCH(MAX('Balance Sheet'!C45:F45),'Balance Sheet'!C45:F45,0)</f>
        <v>3</v>
      </c>
    </row>
    <row r="43" customFormat="false" ht="15" hidden="false" customHeight="false" outlineLevel="0" collapsed="false">
      <c r="A43" s="7" t="s">
        <v>847</v>
      </c>
    </row>
    <row r="44" customFormat="false" ht="15" hidden="false" customHeight="false" outlineLevel="0" collapsed="false">
      <c r="A44" s="7" t="s">
        <v>848</v>
      </c>
    </row>
    <row r="45" customFormat="false" ht="15" hidden="false" customHeight="false" outlineLevel="0" collapsed="false">
      <c r="A45" s="7" t="s">
        <v>849</v>
      </c>
    </row>
    <row r="46" customFormat="false" ht="15" hidden="false" customHeight="false" outlineLevel="0" collapsed="false">
      <c r="A46" s="7" t="s">
        <v>850</v>
      </c>
    </row>
    <row r="47" customFormat="false" ht="15" hidden="false" customHeight="false" outlineLevel="0" collapsed="false">
      <c r="A47" s="7" t="s">
        <v>851</v>
      </c>
    </row>
    <row r="48" customFormat="false" ht="15" hidden="false" customHeight="false" outlineLevel="0" collapsed="false">
      <c r="A48" s="7"/>
    </row>
    <row r="49" customFormat="false" ht="15" hidden="false" customHeight="false" outlineLevel="0" collapsed="false">
      <c r="A49" s="6" t="s">
        <v>852</v>
      </c>
    </row>
    <row r="50" customFormat="false" ht="15" hidden="false" customHeight="false" outlineLevel="0" collapsed="false">
      <c r="A50" s="7" t="s">
        <v>853</v>
      </c>
    </row>
    <row r="51" customFormat="false" ht="15" hidden="false" customHeight="false" outlineLevel="0" collapsed="false">
      <c r="A51" s="7" t="s">
        <v>854</v>
      </c>
    </row>
    <row r="52" customFormat="false" ht="15" hidden="false" customHeight="false" outlineLevel="0" collapsed="false">
      <c r="A52" s="7" t="s">
        <v>855</v>
      </c>
    </row>
    <row r="53" customFormat="false" ht="15" hidden="false" customHeight="false" outlineLevel="0" collapsed="false">
      <c r="A53" s="7" t="s">
        <v>856</v>
      </c>
    </row>
    <row r="54" customFormat="false" ht="15" hidden="false" customHeight="false" outlineLevel="0" collapsed="false">
      <c r="A54" s="7" t="s">
        <v>857</v>
      </c>
    </row>
    <row r="55" customFormat="false" ht="15" hidden="false" customHeight="false" outlineLevel="0" collapsed="false">
      <c r="A55" s="7" t="s">
        <v>858</v>
      </c>
    </row>
    <row r="56" customFormat="false" ht="15" hidden="false" customHeight="false" outlineLevel="0" collapsed="false">
      <c r="A56" s="7" t="s">
        <v>859</v>
      </c>
    </row>
    <row r="57" customFormat="false" ht="15" hidden="false" customHeight="false" outlineLevel="0" collapsed="false">
      <c r="A57" s="7"/>
    </row>
    <row r="58" customFormat="false" ht="15" hidden="false" customHeight="false" outlineLevel="0" collapsed="false">
      <c r="A58" s="7" t="s">
        <v>860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O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5"/>
    <col collapsed="false" customWidth="true" hidden="false" outlineLevel="0" max="16" min="3" style="0" width="13"/>
  </cols>
  <sheetData>
    <row r="1" customFormat="false" ht="24" hidden="false" customHeight="true" outlineLevel="0" collapsed="false">
      <c r="A1" s="15" t="s">
        <v>861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" hidden="false" customHeight="false" outlineLevel="0" collapsed="false">
      <c r="A2" s="16" t="s">
        <v>862</v>
      </c>
    </row>
    <row r="4" customFormat="false" ht="15" hidden="false" customHeight="false" outlineLevel="0" collapsed="false">
      <c r="A4" s="50" t="s">
        <v>473</v>
      </c>
      <c r="B4" s="50" t="s">
        <v>863</v>
      </c>
      <c r="C4" s="51" t="s">
        <v>241</v>
      </c>
      <c r="D4" s="51" t="s">
        <v>242</v>
      </c>
      <c r="E4" s="51" t="s">
        <v>243</v>
      </c>
      <c r="F4" s="51" t="s">
        <v>244</v>
      </c>
      <c r="G4" s="51" t="s">
        <v>245</v>
      </c>
      <c r="H4" s="51" t="s">
        <v>246</v>
      </c>
      <c r="I4" s="51" t="s">
        <v>247</v>
      </c>
      <c r="J4" s="51" t="s">
        <v>248</v>
      </c>
      <c r="K4" s="51" t="s">
        <v>249</v>
      </c>
      <c r="L4" s="51" t="s">
        <v>250</v>
      </c>
    </row>
    <row r="5" customFormat="false" ht="15" hidden="false" customHeight="false" outlineLevel="0" collapsed="false">
      <c r="A5" s="52" t="s">
        <v>251</v>
      </c>
      <c r="B5" s="9"/>
      <c r="C5" s="53" t="s">
        <v>252</v>
      </c>
      <c r="D5" s="53" t="s">
        <v>253</v>
      </c>
      <c r="E5" s="53" t="s">
        <v>254</v>
      </c>
      <c r="F5" s="53" t="s">
        <v>255</v>
      </c>
      <c r="G5" s="53" t="s">
        <v>256</v>
      </c>
      <c r="H5" s="53" t="s">
        <v>257</v>
      </c>
      <c r="I5" s="53" t="s">
        <v>258</v>
      </c>
      <c r="J5" s="53" t="s">
        <v>259</v>
      </c>
      <c r="K5" s="53" t="s">
        <v>260</v>
      </c>
      <c r="L5" s="53" t="s">
        <v>261</v>
      </c>
    </row>
    <row r="6" customFormat="false" ht="15" hidden="false" customHeight="false" outlineLevel="0" collapsed="false">
      <c r="A6" s="8" t="s">
        <v>864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customFormat="false" ht="15" hidden="false" customHeight="false" outlineLevel="0" collapsed="false">
      <c r="A7" s="7" t="s">
        <v>865</v>
      </c>
      <c r="B7" s="14" t="s">
        <v>162</v>
      </c>
      <c r="C7" s="81" t="n">
        <f aca="false">0</f>
        <v>0</v>
      </c>
      <c r="D7" s="81" t="n">
        <f aca="false">C9</f>
        <v>-1000.23407008667</v>
      </c>
      <c r="E7" s="81" t="n">
        <f aca="false">D9</f>
        <v>-1096.53536887335</v>
      </c>
      <c r="F7" s="81" t="n">
        <f aca="false">E9</f>
        <v>-342.349461879276</v>
      </c>
      <c r="G7" s="81" t="n">
        <f aca="false">F9</f>
        <v>0</v>
      </c>
      <c r="H7" s="81" t="n">
        <f aca="false">G9</f>
        <v>0</v>
      </c>
      <c r="I7" s="81" t="n">
        <f aca="false">H9</f>
        <v>0</v>
      </c>
      <c r="J7" s="81" t="n">
        <f aca="false">I9</f>
        <v>0</v>
      </c>
      <c r="K7" s="81" t="n">
        <f aca="false">J9</f>
        <v>0</v>
      </c>
      <c r="L7" s="81" t="n">
        <f aca="false">K9</f>
        <v>0</v>
      </c>
    </row>
    <row r="8" customFormat="false" ht="15" hidden="false" customHeight="false" outlineLevel="0" collapsed="false">
      <c r="A8" s="7" t="s">
        <v>866</v>
      </c>
      <c r="B8" s="14" t="s">
        <v>162</v>
      </c>
      <c r="C8" s="81" t="n">
        <f aca="false">MAX('P&amp;L'!C$24+C7,0)</f>
        <v>0</v>
      </c>
      <c r="D8" s="81" t="n">
        <f aca="false">MAX('P&amp;L'!D$24+D7,0)</f>
        <v>0</v>
      </c>
      <c r="E8" s="81" t="n">
        <f aca="false">MAX('P&amp;L'!E$24+E7,0)</f>
        <v>0</v>
      </c>
      <c r="F8" s="81" t="n">
        <f aca="false">MAX('P&amp;L'!F$24+F7,0)</f>
        <v>1016.76814062278</v>
      </c>
      <c r="G8" s="81" t="n">
        <f aca="false">MAX('P&amp;L'!G$24+G7,0)</f>
        <v>1790.5293698382</v>
      </c>
      <c r="H8" s="81" t="n">
        <f aca="false">MAX('P&amp;L'!H$24+H7,0)</f>
        <v>2300.25559714293</v>
      </c>
      <c r="I8" s="81" t="n">
        <f aca="false">MAX('P&amp;L'!I$24+I7,0)</f>
        <v>2617.77765757792</v>
      </c>
      <c r="J8" s="81" t="n">
        <f aca="false">MAX('P&amp;L'!J$24+J7,0)</f>
        <v>2882.54897003246</v>
      </c>
      <c r="K8" s="81" t="n">
        <f aca="false">MAX('P&amp;L'!K$24+K7,0)</f>
        <v>3198.29254845879</v>
      </c>
      <c r="L8" s="81" t="n">
        <f aca="false">MAX('P&amp;L'!L$24+L7,0)</f>
        <v>3524.82493344038</v>
      </c>
    </row>
    <row r="9" customFormat="false" ht="15" hidden="false" customHeight="false" outlineLevel="0" collapsed="false">
      <c r="A9" s="7" t="s">
        <v>867</v>
      </c>
      <c r="B9" s="14" t="s">
        <v>162</v>
      </c>
      <c r="C9" s="81" t="n">
        <f aca="false">MIN('P&amp;L'!C$24+C7,0)</f>
        <v>-1000.23407008667</v>
      </c>
      <c r="D9" s="81" t="n">
        <f aca="false">MIN('P&amp;L'!D$24+D7,0)</f>
        <v>-1096.53536887335</v>
      </c>
      <c r="E9" s="81" t="n">
        <f aca="false">MIN('P&amp;L'!E$24+E7,0)</f>
        <v>-342.349461879276</v>
      </c>
      <c r="F9" s="81" t="n">
        <f aca="false">MIN('P&amp;L'!F$24+F7,0)</f>
        <v>0</v>
      </c>
      <c r="G9" s="81" t="n">
        <f aca="false">MIN('P&amp;L'!G$24+G7,0)</f>
        <v>0</v>
      </c>
      <c r="H9" s="81" t="n">
        <f aca="false">MIN('P&amp;L'!H$24+H7,0)</f>
        <v>0</v>
      </c>
      <c r="I9" s="81" t="n">
        <f aca="false">MIN('P&amp;L'!I$24+I7,0)</f>
        <v>0</v>
      </c>
      <c r="J9" s="81" t="n">
        <f aca="false">MIN('P&amp;L'!J$24+J7,0)</f>
        <v>0</v>
      </c>
      <c r="K9" s="81" t="n">
        <f aca="false">MIN('P&amp;L'!K$24+K7,0)</f>
        <v>0</v>
      </c>
      <c r="L9" s="81" t="n">
        <f aca="false">MIN('P&amp;L'!L$24+L7,0)</f>
        <v>0</v>
      </c>
    </row>
    <row r="10" customFormat="false" ht="15" hidden="false" customHeight="false" outlineLevel="0" collapsed="false">
      <c r="A10" s="6" t="s">
        <v>868</v>
      </c>
      <c r="B10" s="14" t="s">
        <v>162</v>
      </c>
      <c r="C10" s="85" t="n">
        <f aca="false">C8*Assumptions!$C$98</f>
        <v>0</v>
      </c>
      <c r="D10" s="85" t="n">
        <f aca="false">D8*Assumptions!$C$98</f>
        <v>0</v>
      </c>
      <c r="E10" s="85" t="n">
        <f aca="false">E8*Assumptions!$C$98</f>
        <v>0</v>
      </c>
      <c r="F10" s="85" t="n">
        <f aca="false">F8*Assumptions!$C$98</f>
        <v>255.900205631942</v>
      </c>
      <c r="G10" s="85" t="n">
        <f aca="false">G8*Assumptions!$C$98</f>
        <v>450.640431800879</v>
      </c>
      <c r="H10" s="85" t="n">
        <f aca="false">H8*Assumptions!$C$98</f>
        <v>578.928328688932</v>
      </c>
      <c r="I10" s="85" t="n">
        <f aca="false">I8*Assumptions!$C$98</f>
        <v>658.842280859212</v>
      </c>
      <c r="J10" s="85" t="n">
        <f aca="false">J8*Assumptions!$C$98</f>
        <v>725.479924777768</v>
      </c>
      <c r="K10" s="85" t="n">
        <f aca="false">K8*Assumptions!$C$98</f>
        <v>804.946268596107</v>
      </c>
      <c r="L10" s="85" t="n">
        <f aca="false">L8*Assumptions!$C$98</f>
        <v>887.127939248276</v>
      </c>
    </row>
    <row r="12" customFormat="false" ht="15" hidden="false" customHeight="false" outlineLevel="0" collapsed="false">
      <c r="A12" s="19" t="s">
        <v>869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</row>
    <row r="13" customFormat="false" ht="15" hidden="false" customHeight="false" outlineLevel="0" collapsed="false">
      <c r="A13" s="6" t="s">
        <v>870</v>
      </c>
      <c r="B13" s="14" t="s">
        <v>162</v>
      </c>
      <c r="C13" s="85" t="n">
        <f aca="false">'P&amp;L'!C$20-C10-'Working Capital'!C$20-Depreciation!C$8</f>
        <v>-671.901859939178</v>
      </c>
      <c r="D13" s="85" t="n">
        <f aca="false">'P&amp;L'!D$20-D10-'Working Capital'!D$20-Depreciation!D$8</f>
        <v>306.474112719863</v>
      </c>
      <c r="E13" s="85" t="n">
        <f aca="false">'P&amp;L'!E$20-E10-'Working Capital'!E$20-Depreciation!E$8</f>
        <v>507.255937133526</v>
      </c>
      <c r="F13" s="85" t="n">
        <f aca="false">'P&amp;L'!F$20-F10-'Working Capital'!F$20-Depreciation!F$8</f>
        <v>1428.02380814883</v>
      </c>
      <c r="G13" s="85" t="n">
        <f aca="false">'P&amp;L'!G$20-G10-'Working Capital'!G$20-Depreciation!G$8</f>
        <v>1673.63458373878</v>
      </c>
      <c r="H13" s="85" t="n">
        <f aca="false">'P&amp;L'!H$20-H10-'Working Capital'!H$20-Depreciation!H$8</f>
        <v>1989.12801748167</v>
      </c>
      <c r="I13" s="85" t="n">
        <f aca="false">'P&amp;L'!I$20-I10-'Working Capital'!I$20-Depreciation!I$8</f>
        <v>2216.85867818635</v>
      </c>
      <c r="J13" s="85" t="n">
        <f aca="false">'P&amp;L'!J$20-J10-'Working Capital'!J$20-Depreciation!J$8</f>
        <v>2419.58112678966</v>
      </c>
      <c r="K13" s="85" t="n">
        <f aca="false">'P&amp;L'!K$20-K10-'Working Capital'!K$20-Depreciation!K$8</f>
        <v>2650.59915199915</v>
      </c>
      <c r="L13" s="85" t="n">
        <f aca="false">'P&amp;L'!L$20-L10-'Working Capital'!L$20-Depreciation!L$8</f>
        <v>2895.82115995814</v>
      </c>
    </row>
    <row r="14" customFormat="false" ht="15" hidden="false" customHeight="false" outlineLevel="0" collapsed="false">
      <c r="A14" s="7" t="s">
        <v>871</v>
      </c>
      <c r="B14" s="14" t="s">
        <v>162</v>
      </c>
      <c r="C14" s="81" t="n">
        <f aca="false">0</f>
        <v>0</v>
      </c>
      <c r="D14" s="81" t="n">
        <f aca="false">0</f>
        <v>0</v>
      </c>
      <c r="E14" s="81" t="n">
        <f aca="false">0</f>
        <v>0</v>
      </c>
      <c r="F14" s="81" t="n">
        <f aca="false">0</f>
        <v>0</v>
      </c>
      <c r="G14" s="81" t="n">
        <f aca="false">0</f>
        <v>0</v>
      </c>
      <c r="H14" s="81" t="n">
        <f aca="false">0</f>
        <v>0</v>
      </c>
      <c r="I14" s="81" t="n">
        <f aca="false">0</f>
        <v>0</v>
      </c>
      <c r="J14" s="81" t="n">
        <f aca="false">0</f>
        <v>0</v>
      </c>
      <c r="K14" s="81" t="n">
        <f aca="false">0</f>
        <v>0</v>
      </c>
      <c r="L14" s="81" t="n">
        <f aca="false">'P&amp;L'!L$20*Assumptions!$C$124</f>
        <v>54779.7975700572</v>
      </c>
    </row>
    <row r="15" customFormat="false" ht="15" hidden="false" customHeight="false" outlineLevel="0" collapsed="false">
      <c r="A15" s="7" t="s">
        <v>872</v>
      </c>
      <c r="B15" s="112" t="n">
        <f aca="false">-'Capex &amp; Funding'!$C$25</f>
        <v>-11077.5081811777</v>
      </c>
      <c r="C15" s="81" t="n">
        <f aca="false">0</f>
        <v>0</v>
      </c>
      <c r="D15" s="81" t="n">
        <f aca="false">0</f>
        <v>0</v>
      </c>
      <c r="E15" s="81" t="n">
        <f aca="false">0</f>
        <v>0</v>
      </c>
      <c r="F15" s="81" t="n">
        <f aca="false">0</f>
        <v>0</v>
      </c>
      <c r="G15" s="81" t="n">
        <f aca="false">0</f>
        <v>0</v>
      </c>
      <c r="H15" s="81" t="n">
        <f aca="false">0</f>
        <v>0</v>
      </c>
      <c r="I15" s="81" t="n">
        <f aca="false">0</f>
        <v>0</v>
      </c>
      <c r="J15" s="81" t="n">
        <f aca="false">0</f>
        <v>0</v>
      </c>
      <c r="K15" s="81" t="n">
        <f aca="false">0</f>
        <v>0</v>
      </c>
      <c r="L15" s="81" t="n">
        <f aca="false">0</f>
        <v>0</v>
      </c>
    </row>
    <row r="16" customFormat="false" ht="15" hidden="false" customHeight="false" outlineLevel="0" collapsed="false">
      <c r="A16" s="35" t="s">
        <v>873</v>
      </c>
      <c r="B16" s="67" t="n">
        <f aca="false">B15</f>
        <v>-11077.5081811777</v>
      </c>
      <c r="C16" s="67" t="n">
        <f aca="false">C13+C14</f>
        <v>-671.901859939178</v>
      </c>
      <c r="D16" s="67" t="n">
        <f aca="false">D13+D14</f>
        <v>306.474112719863</v>
      </c>
      <c r="E16" s="67" t="n">
        <f aca="false">E13+E14</f>
        <v>507.255937133526</v>
      </c>
      <c r="F16" s="67" t="n">
        <f aca="false">F13+F14</f>
        <v>1428.02380814883</v>
      </c>
      <c r="G16" s="67" t="n">
        <f aca="false">G13+G14</f>
        <v>1673.63458373878</v>
      </c>
      <c r="H16" s="67" t="n">
        <f aca="false">H13+H14</f>
        <v>1989.12801748167</v>
      </c>
      <c r="I16" s="67" t="n">
        <f aca="false">I13+I14</f>
        <v>2216.85867818635</v>
      </c>
      <c r="J16" s="67" t="n">
        <f aca="false">J13+J14</f>
        <v>2419.58112678966</v>
      </c>
      <c r="K16" s="67" t="n">
        <f aca="false">K13+K14</f>
        <v>2650.59915199915</v>
      </c>
      <c r="L16" s="67" t="n">
        <f aca="false">L13+L14</f>
        <v>57675.6187300153</v>
      </c>
    </row>
    <row r="17" customFormat="false" ht="15" hidden="false" customHeight="false" outlineLevel="0" collapsed="false">
      <c r="A17" s="7" t="s">
        <v>874</v>
      </c>
      <c r="B17" s="14" t="s">
        <v>162</v>
      </c>
      <c r="C17" s="81" t="n">
        <f aca="false">$B$16+C16</f>
        <v>-11749.4100411169</v>
      </c>
      <c r="D17" s="81" t="n">
        <f aca="false">C17+D16</f>
        <v>-11442.935928397</v>
      </c>
      <c r="E17" s="81" t="n">
        <f aca="false">D17+E16</f>
        <v>-10935.6799912635</v>
      </c>
      <c r="F17" s="81" t="n">
        <f aca="false">E17+F16</f>
        <v>-9507.65618311465</v>
      </c>
      <c r="G17" s="81" t="n">
        <f aca="false">F17+G16</f>
        <v>-7834.02159937587</v>
      </c>
      <c r="H17" s="81" t="n">
        <f aca="false">G17+H16</f>
        <v>-5844.8935818942</v>
      </c>
      <c r="I17" s="81" t="n">
        <f aca="false">H17+I16</f>
        <v>-3628.03490370785</v>
      </c>
      <c r="J17" s="81" t="n">
        <f aca="false">I17+J16</f>
        <v>-1208.45377691819</v>
      </c>
      <c r="K17" s="81" t="n">
        <f aca="false">J17+K16</f>
        <v>1442.14537508096</v>
      </c>
      <c r="L17" s="81" t="n">
        <f aca="false">K17+L16</f>
        <v>59117.7641050963</v>
      </c>
    </row>
    <row r="19" customFormat="false" ht="15" hidden="false" customHeight="false" outlineLevel="0" collapsed="false">
      <c r="A19" s="6" t="s">
        <v>875</v>
      </c>
      <c r="C19" s="113" t="n">
        <f aca="false">IRR(B16:L16)</f>
        <v>0.22129905349171</v>
      </c>
      <c r="E19" s="14" t="s">
        <v>876</v>
      </c>
    </row>
    <row r="20" customFormat="false" ht="15" hidden="false" customHeight="false" outlineLevel="0" collapsed="false">
      <c r="A20" s="6" t="s">
        <v>877</v>
      </c>
      <c r="C20" s="113" t="n">
        <f aca="false">Assumptions!$C$122</f>
        <v>0.125</v>
      </c>
      <c r="E20" s="14"/>
    </row>
    <row r="21" customFormat="false" ht="15" hidden="false" customHeight="false" outlineLevel="0" collapsed="false">
      <c r="A21" s="6" t="s">
        <v>878</v>
      </c>
      <c r="C21" s="113" t="n">
        <f aca="false">C19-C20</f>
        <v>0.0962990534917096</v>
      </c>
      <c r="E21" s="14" t="s">
        <v>879</v>
      </c>
    </row>
    <row r="22" customFormat="false" ht="15" hidden="false" customHeight="false" outlineLevel="0" collapsed="false">
      <c r="A22" s="6" t="s">
        <v>880</v>
      </c>
      <c r="C22" s="106" t="n">
        <f aca="false">NPV(Assumptions!$C$122,C16:L16)+B16</f>
        <v>12319.3780618826</v>
      </c>
      <c r="E22" s="14" t="s">
        <v>881</v>
      </c>
    </row>
    <row r="23" customFormat="false" ht="15" hidden="false" customHeight="false" outlineLevel="0" collapsed="false">
      <c r="A23" s="6" t="s">
        <v>882</v>
      </c>
      <c r="C23" s="114" t="n">
        <f aca="false">C22/-B16</f>
        <v>1.11210733139561</v>
      </c>
      <c r="E23" s="14"/>
    </row>
    <row r="24" customFormat="false" ht="15" hidden="false" customHeight="false" outlineLevel="0" collapsed="false">
      <c r="A24" s="6" t="s">
        <v>883</v>
      </c>
      <c r="C24" s="115" t="n">
        <f aca="false">COUNTIF(C17:L17,"&lt;0")+IFERROR(INDEX(C17:L17,1,COUNTIF(C17:L17,"&lt;0"))/-INDEX(C16:L16,1,COUNTIF(C17:L17,"&lt;0")+1)*-1,0)</f>
        <v>7.54408278746836</v>
      </c>
      <c r="E24" s="14" t="s">
        <v>884</v>
      </c>
    </row>
    <row r="26" customFormat="false" ht="15" hidden="false" customHeight="false" outlineLevel="0" collapsed="false">
      <c r="A26" s="19" t="s">
        <v>885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</row>
    <row r="27" customFormat="false" ht="15" hidden="false" customHeight="false" outlineLevel="0" collapsed="false">
      <c r="A27" s="6" t="s">
        <v>886</v>
      </c>
      <c r="B27" s="14" t="s">
        <v>162</v>
      </c>
      <c r="C27" s="79" t="n">
        <f aca="false">'Cash Flow'!C$30</f>
        <v>-1226.7093505728</v>
      </c>
      <c r="D27" s="79" t="n">
        <f aca="false">'Cash Flow'!D$30</f>
        <v>-404.033377913758</v>
      </c>
      <c r="E27" s="79" t="n">
        <f aca="false">'Cash Flow'!E$30</f>
        <v>-263.776553500095</v>
      </c>
      <c r="F27" s="79" t="n">
        <f aca="false">'Cash Flow'!F$30</f>
        <v>377.4686542567</v>
      </c>
      <c r="G27" s="79" t="n">
        <f aca="false">'Cash Flow'!G$30</f>
        <v>569.161026193301</v>
      </c>
      <c r="H27" s="79" t="n">
        <f aca="false">'Cash Flow'!H$30</f>
        <v>830.801473723065</v>
      </c>
      <c r="I27" s="79" t="n">
        <f aca="false">'Cash Flow'!I$30</f>
        <v>595.65502779944</v>
      </c>
      <c r="J27" s="79" t="n">
        <f aca="false">'Cash Flow'!J$30</f>
        <v>743.098193768809</v>
      </c>
      <c r="K27" s="79" t="n">
        <f aca="false">'Cash Flow'!K$30</f>
        <v>931.312665332184</v>
      </c>
      <c r="L27" s="79" t="n">
        <f aca="false">'Cash Flow'!L$30</f>
        <v>1220.63047365416</v>
      </c>
    </row>
    <row r="28" customFormat="false" ht="15" hidden="false" customHeight="false" outlineLevel="0" collapsed="false">
      <c r="A28" s="7" t="s">
        <v>887</v>
      </c>
      <c r="B28" s="14" t="s">
        <v>162</v>
      </c>
      <c r="C28" s="81" t="n">
        <f aca="false">0</f>
        <v>0</v>
      </c>
      <c r="D28" s="81" t="n">
        <f aca="false">0</f>
        <v>0</v>
      </c>
      <c r="E28" s="81" t="n">
        <f aca="false">0</f>
        <v>0</v>
      </c>
      <c r="F28" s="81" t="n">
        <f aca="false">0</f>
        <v>0</v>
      </c>
      <c r="G28" s="81" t="n">
        <f aca="false">0</f>
        <v>0</v>
      </c>
      <c r="H28" s="81" t="n">
        <f aca="false">0</f>
        <v>0</v>
      </c>
      <c r="I28" s="81" t="n">
        <f aca="false">0</f>
        <v>0</v>
      </c>
      <c r="J28" s="81" t="n">
        <f aca="false">0</f>
        <v>0</v>
      </c>
      <c r="K28" s="81" t="n">
        <f aca="false">0</f>
        <v>0</v>
      </c>
      <c r="L28" s="81" t="n">
        <f aca="false">'P&amp;L'!L$20*Assumptions!$C$124</f>
        <v>54779.7975700572</v>
      </c>
    </row>
    <row r="29" customFormat="false" ht="15" hidden="false" customHeight="false" outlineLevel="0" collapsed="false">
      <c r="A29" s="7" t="s">
        <v>888</v>
      </c>
      <c r="B29" s="14" t="s">
        <v>162</v>
      </c>
      <c r="C29" s="81" t="n">
        <f aca="false">0</f>
        <v>0</v>
      </c>
      <c r="D29" s="81" t="n">
        <f aca="false">0</f>
        <v>0</v>
      </c>
      <c r="E29" s="81" t="n">
        <f aca="false">0</f>
        <v>0</v>
      </c>
      <c r="F29" s="81" t="n">
        <f aca="false">0</f>
        <v>0</v>
      </c>
      <c r="G29" s="81" t="n">
        <f aca="false">0</f>
        <v>0</v>
      </c>
      <c r="H29" s="81" t="n">
        <f aca="false">0</f>
        <v>0</v>
      </c>
      <c r="I29" s="81" t="n">
        <f aca="false">0</f>
        <v>0</v>
      </c>
      <c r="J29" s="81" t="n">
        <f aca="false">0</f>
        <v>0</v>
      </c>
      <c r="K29" s="81" t="n">
        <f aca="false">0</f>
        <v>0</v>
      </c>
      <c r="L29" s="81" t="n">
        <f aca="false">-'Balance Sheet'!L$42</f>
        <v>4706.06567547277</v>
      </c>
    </row>
    <row r="30" customFormat="false" ht="15" hidden="false" customHeight="false" outlineLevel="0" collapsed="false">
      <c r="A30" s="6" t="s">
        <v>889</v>
      </c>
      <c r="B30" s="14" t="s">
        <v>162</v>
      </c>
      <c r="C30" s="85" t="n">
        <f aca="false">C28+C29</f>
        <v>0</v>
      </c>
      <c r="D30" s="85" t="n">
        <f aca="false">D28+D29</f>
        <v>0</v>
      </c>
      <c r="E30" s="85" t="n">
        <f aca="false">E28+E29</f>
        <v>0</v>
      </c>
      <c r="F30" s="85" t="n">
        <f aca="false">F28+F29</f>
        <v>0</v>
      </c>
      <c r="G30" s="85" t="n">
        <f aca="false">G28+G29</f>
        <v>0</v>
      </c>
      <c r="H30" s="85" t="n">
        <f aca="false">H28+H29</f>
        <v>0</v>
      </c>
      <c r="I30" s="85" t="n">
        <f aca="false">I28+I29</f>
        <v>0</v>
      </c>
      <c r="J30" s="85" t="n">
        <f aca="false">J28+J29</f>
        <v>0</v>
      </c>
      <c r="K30" s="85" t="n">
        <f aca="false">K28+K29</f>
        <v>0</v>
      </c>
      <c r="L30" s="85" t="n">
        <f aca="false">L28+L29</f>
        <v>59485.86324553</v>
      </c>
    </row>
    <row r="31" customFormat="false" ht="15" hidden="false" customHeight="false" outlineLevel="0" collapsed="false">
      <c r="A31" s="7" t="s">
        <v>890</v>
      </c>
      <c r="B31" s="112" t="n">
        <f aca="false">-('Capex &amp; Funding'!$C$33+'Capex &amp; Funding'!$C$38)</f>
        <v>-5103.25245435331</v>
      </c>
      <c r="C31" s="81" t="n">
        <f aca="false">0</f>
        <v>0</v>
      </c>
      <c r="D31" s="81" t="n">
        <f aca="false">0</f>
        <v>0</v>
      </c>
      <c r="E31" s="81" t="n">
        <f aca="false">0</f>
        <v>0</v>
      </c>
      <c r="F31" s="81" t="n">
        <f aca="false">0</f>
        <v>0</v>
      </c>
      <c r="G31" s="81" t="n">
        <f aca="false">0</f>
        <v>0</v>
      </c>
      <c r="H31" s="81" t="n">
        <f aca="false">0</f>
        <v>0</v>
      </c>
      <c r="I31" s="81" t="n">
        <f aca="false">0</f>
        <v>0</v>
      </c>
      <c r="J31" s="81" t="n">
        <f aca="false">0</f>
        <v>0</v>
      </c>
      <c r="K31" s="81" t="n">
        <f aca="false">0</f>
        <v>0</v>
      </c>
      <c r="L31" s="81" t="n">
        <f aca="false">0</f>
        <v>0</v>
      </c>
    </row>
    <row r="32" customFormat="false" ht="15" hidden="false" customHeight="false" outlineLevel="0" collapsed="false">
      <c r="A32" s="35" t="s">
        <v>891</v>
      </c>
      <c r="B32" s="67" t="n">
        <f aca="false">B31</f>
        <v>-5103.25245435331</v>
      </c>
      <c r="C32" s="67" t="n">
        <f aca="false">C27+C30</f>
        <v>-1226.7093505728</v>
      </c>
      <c r="D32" s="67" t="n">
        <f aca="false">D27+D30</f>
        <v>-404.033377913758</v>
      </c>
      <c r="E32" s="67" t="n">
        <f aca="false">E27+E30</f>
        <v>-263.776553500095</v>
      </c>
      <c r="F32" s="67" t="n">
        <f aca="false">F27+F30</f>
        <v>377.4686542567</v>
      </c>
      <c r="G32" s="67" t="n">
        <f aca="false">G27+G30</f>
        <v>569.161026193301</v>
      </c>
      <c r="H32" s="67" t="n">
        <f aca="false">H27+H30</f>
        <v>830.801473723065</v>
      </c>
      <c r="I32" s="67" t="n">
        <f aca="false">I27+I30</f>
        <v>595.65502779944</v>
      </c>
      <c r="J32" s="67" t="n">
        <f aca="false">J27+J30</f>
        <v>743.098193768809</v>
      </c>
      <c r="K32" s="67" t="n">
        <f aca="false">K27+K30</f>
        <v>931.312665332184</v>
      </c>
      <c r="L32" s="67" t="n">
        <f aca="false">L27+L30</f>
        <v>60706.4937191841</v>
      </c>
    </row>
    <row r="33" customFormat="false" ht="15" hidden="false" customHeight="false" outlineLevel="0" collapsed="false">
      <c r="A33" s="7" t="s">
        <v>892</v>
      </c>
      <c r="B33" s="14" t="s">
        <v>162</v>
      </c>
      <c r="C33" s="81" t="n">
        <f aca="false">$B$32+C32</f>
        <v>-6329.96180492611</v>
      </c>
      <c r="D33" s="81" t="n">
        <f aca="false">C33+D32</f>
        <v>-6733.99518283987</v>
      </c>
      <c r="E33" s="81" t="n">
        <f aca="false">D33+E32</f>
        <v>-6997.77173633996</v>
      </c>
      <c r="F33" s="81" t="n">
        <f aca="false">E33+F32</f>
        <v>-6620.30308208326</v>
      </c>
      <c r="G33" s="81" t="n">
        <f aca="false">F33+G32</f>
        <v>-6051.14205588996</v>
      </c>
      <c r="H33" s="81" t="n">
        <f aca="false">G33+H32</f>
        <v>-5220.3405821669</v>
      </c>
      <c r="I33" s="81" t="n">
        <f aca="false">H33+I32</f>
        <v>-4624.68555436746</v>
      </c>
      <c r="J33" s="81" t="n">
        <f aca="false">I33+J32</f>
        <v>-3881.58736059865</v>
      </c>
      <c r="K33" s="81" t="n">
        <f aca="false">J33+K32</f>
        <v>-2950.27469526646</v>
      </c>
      <c r="L33" s="81" t="n">
        <f aca="false">K33+L32</f>
        <v>57756.2190239177</v>
      </c>
    </row>
    <row r="35" customFormat="false" ht="15" hidden="false" customHeight="false" outlineLevel="0" collapsed="false">
      <c r="A35" s="6" t="s">
        <v>893</v>
      </c>
      <c r="C35" s="113" t="n">
        <f aca="false">IRR(B32:L32)</f>
        <v>0.269109630373551</v>
      </c>
      <c r="E35" s="14" t="s">
        <v>894</v>
      </c>
    </row>
    <row r="36" customFormat="false" ht="15" hidden="false" customHeight="false" outlineLevel="0" collapsed="false">
      <c r="A36" s="6" t="s">
        <v>369</v>
      </c>
      <c r="C36" s="113" t="n">
        <f aca="false">Assumptions!$C$125</f>
        <v>0.18</v>
      </c>
      <c r="E36" s="14"/>
    </row>
    <row r="37" customFormat="false" ht="15" hidden="false" customHeight="false" outlineLevel="0" collapsed="false">
      <c r="A37" s="6" t="s">
        <v>895</v>
      </c>
      <c r="C37" s="113" t="n">
        <f aca="false">C35-C36</f>
        <v>0.0891096303735514</v>
      </c>
      <c r="E37" s="14"/>
    </row>
    <row r="38" customFormat="false" ht="15" hidden="false" customHeight="false" outlineLevel="0" collapsed="false">
      <c r="A38" s="6" t="s">
        <v>896</v>
      </c>
      <c r="C38" s="106" t="n">
        <f aca="false">NPV(0.16,C32:L32)+B32</f>
        <v>8633.9223683254</v>
      </c>
      <c r="E38" s="14"/>
    </row>
    <row r="39" customFormat="false" ht="15" hidden="false" customHeight="false" outlineLevel="0" collapsed="false">
      <c r="A39" s="6" t="s">
        <v>897</v>
      </c>
      <c r="C39" s="106" t="n">
        <f aca="false">SUM(C32:L32)</f>
        <v>62859.471478271</v>
      </c>
      <c r="E39" s="14"/>
    </row>
    <row r="40" customFormat="false" ht="15" hidden="false" customHeight="false" outlineLevel="0" collapsed="false">
      <c r="A40" s="6" t="s">
        <v>898</v>
      </c>
      <c r="C40" s="105" t="n">
        <f aca="false">C39/-B32</f>
        <v>12.3175312294513</v>
      </c>
      <c r="E40" s="14" t="s">
        <v>899</v>
      </c>
    </row>
    <row r="41" customFormat="false" ht="15" hidden="false" customHeight="false" outlineLevel="0" collapsed="false">
      <c r="A41" s="6" t="s">
        <v>900</v>
      </c>
      <c r="C41" s="115" t="n">
        <f aca="false">COUNTIF(C33:L33,"&lt;0")</f>
        <v>9</v>
      </c>
      <c r="E41" s="14"/>
    </row>
    <row r="43" customFormat="false" ht="15" hidden="false" customHeight="false" outlineLevel="0" collapsed="false">
      <c r="A43" s="8" t="s">
        <v>901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</row>
    <row r="44" customFormat="false" ht="15" hidden="false" customHeight="false" outlineLevel="0" collapsed="false">
      <c r="A44" s="7" t="s">
        <v>902</v>
      </c>
      <c r="C44" s="100" t="n">
        <f aca="false">C19</f>
        <v>0.22129905349171</v>
      </c>
    </row>
    <row r="45" customFormat="false" ht="15" hidden="false" customHeight="false" outlineLevel="0" collapsed="false">
      <c r="A45" s="7" t="s">
        <v>903</v>
      </c>
      <c r="C45" s="100" t="n">
        <f aca="false">Assumptions!$C$106*(1-Assumptions!$C$98)</f>
        <v>0.0804444</v>
      </c>
    </row>
    <row r="46" customFormat="false" ht="15" hidden="false" customHeight="false" outlineLevel="0" collapsed="false">
      <c r="A46" s="7" t="s">
        <v>904</v>
      </c>
      <c r="C46" s="100" t="n">
        <f aca="false">C44-C45</f>
        <v>0.14085465349171</v>
      </c>
    </row>
    <row r="47" customFormat="false" ht="15" hidden="false" customHeight="false" outlineLevel="0" collapsed="false">
      <c r="A47" s="6" t="s">
        <v>905</v>
      </c>
      <c r="C47" s="116" t="n">
        <f aca="false">C35</f>
        <v>0.269109630373551</v>
      </c>
    </row>
    <row r="48" customFormat="false" ht="15" hidden="false" customHeight="false" outlineLevel="0" collapsed="false">
      <c r="A48" s="14" t="s">
        <v>906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O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5"/>
    <col collapsed="false" customWidth="true" hidden="false" outlineLevel="0" max="16" min="3" style="0" width="13"/>
  </cols>
  <sheetData>
    <row r="1" customFormat="false" ht="24" hidden="false" customHeight="true" outlineLevel="0" collapsed="false">
      <c r="A1" s="15" t="s">
        <v>907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" hidden="false" customHeight="false" outlineLevel="0" collapsed="false">
      <c r="A2" s="16" t="s">
        <v>908</v>
      </c>
    </row>
    <row r="4" customFormat="false" ht="15" hidden="false" customHeight="false" outlineLevel="0" collapsed="false">
      <c r="A4" s="50" t="s">
        <v>473</v>
      </c>
      <c r="B4" s="50" t="s">
        <v>122</v>
      </c>
      <c r="C4" s="51" t="s">
        <v>241</v>
      </c>
      <c r="D4" s="51" t="s">
        <v>242</v>
      </c>
      <c r="E4" s="51" t="s">
        <v>243</v>
      </c>
      <c r="F4" s="51" t="s">
        <v>244</v>
      </c>
      <c r="G4" s="51" t="s">
        <v>245</v>
      </c>
      <c r="H4" s="51" t="s">
        <v>246</v>
      </c>
      <c r="I4" s="51" t="s">
        <v>247</v>
      </c>
      <c r="J4" s="51" t="s">
        <v>248</v>
      </c>
      <c r="K4" s="51" t="s">
        <v>249</v>
      </c>
      <c r="L4" s="51" t="s">
        <v>250</v>
      </c>
    </row>
    <row r="5" customFormat="false" ht="15" hidden="false" customHeight="false" outlineLevel="0" collapsed="false">
      <c r="A5" s="52" t="s">
        <v>251</v>
      </c>
      <c r="B5" s="9"/>
      <c r="C5" s="53" t="s">
        <v>252</v>
      </c>
      <c r="D5" s="53" t="s">
        <v>253</v>
      </c>
      <c r="E5" s="53" t="s">
        <v>254</v>
      </c>
      <c r="F5" s="53" t="s">
        <v>255</v>
      </c>
      <c r="G5" s="53" t="s">
        <v>256</v>
      </c>
      <c r="H5" s="53" t="s">
        <v>257</v>
      </c>
      <c r="I5" s="53" t="s">
        <v>258</v>
      </c>
      <c r="J5" s="53" t="s">
        <v>259</v>
      </c>
      <c r="K5" s="53" t="s">
        <v>260</v>
      </c>
      <c r="L5" s="53" t="s">
        <v>261</v>
      </c>
    </row>
    <row r="6" customFormat="false" ht="15" hidden="false" customHeight="false" outlineLevel="0" collapsed="false">
      <c r="A6" s="7" t="s">
        <v>909</v>
      </c>
      <c r="B6" s="14" t="s">
        <v>162</v>
      </c>
      <c r="C6" s="79" t="n">
        <f aca="false">'Revenue Build'!C$43</f>
        <v>3013.321464</v>
      </c>
      <c r="D6" s="79" t="n">
        <f aca="false">'Revenue Build'!D$43</f>
        <v>5112.405485</v>
      </c>
      <c r="E6" s="79" t="n">
        <f aca="false">'Revenue Build'!E$43</f>
        <v>7204.8789977175</v>
      </c>
      <c r="F6" s="79" t="n">
        <f aca="false">'Revenue Build'!F$43</f>
        <v>8880.23550953164</v>
      </c>
      <c r="G6" s="79" t="n">
        <f aca="false">'Revenue Build'!G$43</f>
        <v>10439.458736271</v>
      </c>
      <c r="H6" s="79" t="n">
        <f aca="false">'Revenue Build'!H$43</f>
        <v>11622.049546621</v>
      </c>
      <c r="I6" s="79" t="n">
        <f aca="false">'Revenue Build'!I$43</f>
        <v>12602.740462311</v>
      </c>
      <c r="J6" s="79" t="n">
        <f aca="false">'Revenue Build'!J$43</f>
        <v>13591.6296339557</v>
      </c>
      <c r="K6" s="79" t="n">
        <f aca="false">'Revenue Build'!K$43</f>
        <v>14684.0487072853</v>
      </c>
      <c r="L6" s="79" t="n">
        <f aca="false">'Revenue Build'!L$43</f>
        <v>15830.8165856815</v>
      </c>
    </row>
    <row r="7" customFormat="false" ht="15" hidden="false" customHeight="false" outlineLevel="0" collapsed="false">
      <c r="A7" s="7" t="s">
        <v>576</v>
      </c>
      <c r="B7" s="14" t="s">
        <v>162</v>
      </c>
      <c r="C7" s="79" t="n">
        <f aca="false">'Operating Costs'!C$9</f>
        <v>985.78207276</v>
      </c>
      <c r="D7" s="79" t="n">
        <f aca="false">'Operating Costs'!D$9</f>
        <v>1672.66532246</v>
      </c>
      <c r="E7" s="79" t="n">
        <f aca="false">'Operating Costs'!E$9</f>
        <v>2354.27698939675</v>
      </c>
      <c r="F7" s="79" t="n">
        <f aca="false">'Operating Costs'!F$9</f>
        <v>2899.40102690747</v>
      </c>
      <c r="G7" s="79" t="n">
        <f aca="false">'Operating Costs'!G$9</f>
        <v>3406.02884447567</v>
      </c>
      <c r="H7" s="79" t="n">
        <f aca="false">'Operating Costs'!H$9</f>
        <v>3789.36596351911</v>
      </c>
      <c r="I7" s="79" t="n">
        <f aca="false">'Operating Costs'!I$9</f>
        <v>4102.87818507161</v>
      </c>
      <c r="J7" s="79" t="n">
        <f aca="false">'Operating Costs'!J$9</f>
        <v>4422.92369866534</v>
      </c>
      <c r="K7" s="79" t="n">
        <f aca="false">'Operating Costs'!K$9</f>
        <v>4773.79972045523</v>
      </c>
      <c r="L7" s="79" t="n">
        <f aca="false">'Operating Costs'!L$9</f>
        <v>5144.72160550214</v>
      </c>
    </row>
    <row r="8" customFormat="false" ht="15" hidden="false" customHeight="false" outlineLevel="0" collapsed="false">
      <c r="A8" s="35" t="s">
        <v>910</v>
      </c>
      <c r="B8" s="80" t="s">
        <v>162</v>
      </c>
      <c r="C8" s="67" t="n">
        <f aca="false">C6-C7</f>
        <v>2027.53939124</v>
      </c>
      <c r="D8" s="67" t="n">
        <f aca="false">D6-D7</f>
        <v>3439.74016254</v>
      </c>
      <c r="E8" s="67" t="n">
        <f aca="false">E6-E7</f>
        <v>4850.60200832075</v>
      </c>
      <c r="F8" s="67" t="n">
        <f aca="false">F6-F7</f>
        <v>5980.83448262417</v>
      </c>
      <c r="G8" s="67" t="n">
        <f aca="false">G6-G7</f>
        <v>7033.42989179538</v>
      </c>
      <c r="H8" s="67" t="n">
        <f aca="false">H6-H7</f>
        <v>7832.68358310193</v>
      </c>
      <c r="I8" s="67" t="n">
        <f aca="false">I6-I7</f>
        <v>8499.86227723943</v>
      </c>
      <c r="J8" s="67" t="n">
        <f aca="false">J6-J7</f>
        <v>9168.70593529034</v>
      </c>
      <c r="K8" s="67" t="n">
        <f aca="false">K6-K7</f>
        <v>9910.24898683007</v>
      </c>
      <c r="L8" s="67" t="n">
        <f aca="false">L6-L7</f>
        <v>10686.0949801794</v>
      </c>
    </row>
    <row r="9" customFormat="false" ht="15" hidden="false" customHeight="false" outlineLevel="0" collapsed="false">
      <c r="A9" s="6" t="s">
        <v>911</v>
      </c>
      <c r="B9" s="14" t="s">
        <v>129</v>
      </c>
      <c r="C9" s="55" t="n">
        <f aca="false">C8/C6</f>
        <v>0.672858643016655</v>
      </c>
      <c r="D9" s="55" t="n">
        <f aca="false">D8/D6</f>
        <v>0.672822250236671</v>
      </c>
      <c r="E9" s="55" t="n">
        <f aca="false">E8/E6</f>
        <v>0.67323851099476</v>
      </c>
      <c r="F9" s="55" t="n">
        <f aca="false">F8/F6</f>
        <v>0.673499534579304</v>
      </c>
      <c r="G9" s="55" t="n">
        <f aca="false">G8/G6</f>
        <v>0.673735111127774</v>
      </c>
      <c r="H9" s="55" t="n">
        <f aca="false">H8/H6</f>
        <v>0.673950283182124</v>
      </c>
      <c r="I9" s="55" t="n">
        <f aca="false">I8/I6</f>
        <v>0.674445554334677</v>
      </c>
      <c r="J9" s="55" t="n">
        <f aca="false">J8/J6</f>
        <v>0.674584739447605</v>
      </c>
      <c r="K9" s="55" t="n">
        <f aca="false">K8/K6</f>
        <v>0.674898945405515</v>
      </c>
      <c r="L9" s="55" t="n">
        <f aca="false">L8/L6</f>
        <v>0.675018557782081</v>
      </c>
      <c r="N9" s="14" t="s">
        <v>912</v>
      </c>
    </row>
    <row r="10" customFormat="false" ht="15" hidden="false" customHeight="false" outlineLevel="0" collapsed="false">
      <c r="A10" s="7" t="s">
        <v>582</v>
      </c>
      <c r="B10" s="14" t="s">
        <v>162</v>
      </c>
      <c r="C10" s="79" t="n">
        <f aca="false">'Operating Costs'!C$19</f>
        <v>2413.9</v>
      </c>
      <c r="D10" s="79" t="n">
        <f aca="false">'Operating Costs'!D$19</f>
        <v>2922.168</v>
      </c>
      <c r="E10" s="79" t="n">
        <f aca="false">'Operating Costs'!E$19</f>
        <v>3441.29264</v>
      </c>
      <c r="F10" s="79" t="n">
        <f aca="false">'Operating Costs'!F$19</f>
        <v>3952.1836608</v>
      </c>
      <c r="G10" s="79" t="n">
        <f aca="false">'Operating Costs'!G$19</f>
        <v>4555.606831616</v>
      </c>
      <c r="H10" s="79" t="n">
        <f aca="false">'Operating Costs'!H$19</f>
        <v>4914.25537814528</v>
      </c>
      <c r="I10" s="79" t="n">
        <f aca="false">'Operating Costs'!I$19</f>
        <v>5274.8358083969</v>
      </c>
      <c r="J10" s="79" t="n">
        <f aca="false">'Operating Costs'!J$19</f>
        <v>5653.70267306866</v>
      </c>
      <c r="K10" s="79" t="n">
        <f aca="false">'Operating Costs'!K$19</f>
        <v>6052.31888691415</v>
      </c>
      <c r="L10" s="79" t="n">
        <f aca="false">'Operating Costs'!L$19</f>
        <v>6472.26439786728</v>
      </c>
    </row>
    <row r="11" customFormat="false" ht="15" hidden="false" customHeight="false" outlineLevel="0" collapsed="false">
      <c r="A11" s="7" t="s">
        <v>58</v>
      </c>
      <c r="B11" s="14" t="s">
        <v>162</v>
      </c>
      <c r="C11" s="79" t="n">
        <f aca="false">'P&amp;L'!C$23</f>
        <v>613.873461326675</v>
      </c>
      <c r="D11" s="79" t="n">
        <f aca="false">'P&amp;L'!D$23</f>
        <v>613.873461326675</v>
      </c>
      <c r="E11" s="79" t="n">
        <f aca="false">'P&amp;L'!E$23</f>
        <v>655.123461326675</v>
      </c>
      <c r="F11" s="79" t="n">
        <f aca="false">'P&amp;L'!F$23</f>
        <v>669.53321932211</v>
      </c>
      <c r="G11" s="79" t="n">
        <f aca="false">'P&amp;L'!G$23</f>
        <v>687.293690341174</v>
      </c>
      <c r="H11" s="79" t="n">
        <f aca="false">'P&amp;L'!H$23</f>
        <v>618.172607813716</v>
      </c>
      <c r="I11" s="79" t="n">
        <f aca="false">'P&amp;L'!I$23</f>
        <v>607.248811264605</v>
      </c>
      <c r="J11" s="79" t="n">
        <f aca="false">'P&amp;L'!J$23</f>
        <v>632.454292189227</v>
      </c>
      <c r="K11" s="79" t="n">
        <f aca="false">'P&amp;L'!K$23</f>
        <v>659.637551457138</v>
      </c>
      <c r="L11" s="79" t="n">
        <f aca="false">'P&amp;L'!L$23</f>
        <v>689.005648871709</v>
      </c>
    </row>
    <row r="12" customFormat="false" ht="15" hidden="false" customHeight="false" outlineLevel="0" collapsed="false">
      <c r="A12" s="7" t="s">
        <v>726</v>
      </c>
      <c r="B12" s="14" t="s">
        <v>162</v>
      </c>
      <c r="C12" s="79" t="n">
        <f aca="false">'P&amp;L'!C$27</f>
        <v>869.807490633622</v>
      </c>
      <c r="D12" s="79" t="n">
        <f aca="false">'P&amp;L'!D$27</f>
        <v>890.507490633622</v>
      </c>
      <c r="E12" s="79" t="n">
        <f aca="false">'P&amp;L'!E$27</f>
        <v>906.032490633622</v>
      </c>
      <c r="F12" s="79" t="n">
        <f aca="false">'P&amp;L'!F$27</f>
        <v>886.200015914613</v>
      </c>
      <c r="G12" s="79" t="n">
        <f aca="false">'P&amp;L'!G$27</f>
        <v>824.688416663923</v>
      </c>
      <c r="H12" s="79" t="n">
        <f aca="false">'P&amp;L'!H$27</f>
        <v>728.826430241057</v>
      </c>
      <c r="I12" s="79" t="n">
        <f aca="false">'P&amp;L'!I$27</f>
        <v>612.12488155235</v>
      </c>
      <c r="J12" s="79" t="n">
        <f aca="false">'P&amp;L'!J$27</f>
        <v>478.75168305097</v>
      </c>
      <c r="K12" s="79" t="n">
        <f aca="false">'P&amp;L'!K$27</f>
        <v>328.706834736918</v>
      </c>
      <c r="L12" s="79" t="n">
        <f aca="false">'P&amp;L'!L$27</f>
        <v>166.158249063362</v>
      </c>
    </row>
    <row r="13" customFormat="false" ht="15" hidden="false" customHeight="false" outlineLevel="0" collapsed="false">
      <c r="A13" s="7" t="s">
        <v>913</v>
      </c>
      <c r="B13" s="14" t="s">
        <v>162</v>
      </c>
      <c r="C13" s="79" t="n">
        <f aca="false">'Debt Schedule'!C$9</f>
        <v>0</v>
      </c>
      <c r="D13" s="79" t="n">
        <f aca="false">'Debt Schedule'!D$9</f>
        <v>0</v>
      </c>
      <c r="E13" s="79" t="n">
        <f aca="false">'Debt Schedule'!E$9</f>
        <v>0</v>
      </c>
      <c r="F13" s="79" t="n">
        <f aca="false">'Debt Schedule'!F$9</f>
        <v>465.255343609463</v>
      </c>
      <c r="G13" s="79" t="n">
        <f aca="false">'Debt Schedule'!G$9</f>
        <v>775.425572682439</v>
      </c>
      <c r="H13" s="79" t="n">
        <f aca="false">'Debt Schedule'!H$9</f>
        <v>1008.05324448717</v>
      </c>
      <c r="I13" s="79" t="n">
        <f aca="false">'Debt Schedule'!I$9</f>
        <v>1163.13835902366</v>
      </c>
      <c r="J13" s="79" t="n">
        <f aca="false">'Debt Schedule'!J$9</f>
        <v>1318.22347356015</v>
      </c>
      <c r="K13" s="79" t="n">
        <f aca="false">'Debt Schedule'!K$9</f>
        <v>1473.30858809663</v>
      </c>
      <c r="L13" s="79" t="n">
        <f aca="false">'Debt Schedule'!L$9</f>
        <v>1550.85114536488</v>
      </c>
    </row>
    <row r="15" customFormat="false" ht="15" hidden="false" customHeight="false" outlineLevel="0" collapsed="false">
      <c r="A15" s="8" t="s">
        <v>914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customFormat="false" ht="15" hidden="false" customHeight="false" outlineLevel="0" collapsed="false">
      <c r="A16" s="7" t="s">
        <v>915</v>
      </c>
      <c r="B16" s="14" t="s">
        <v>162</v>
      </c>
      <c r="C16" s="81" t="n">
        <f aca="false">C10/C9</f>
        <v>3587.52915646244</v>
      </c>
      <c r="D16" s="81" t="n">
        <f aca="false">D10/D9</f>
        <v>4343.15006522466</v>
      </c>
      <c r="E16" s="81" t="n">
        <f aca="false">E10/E9</f>
        <v>5111.55048886795</v>
      </c>
      <c r="F16" s="81" t="n">
        <f aca="false">F10/F9</f>
        <v>5868.13124268705</v>
      </c>
      <c r="G16" s="81" t="n">
        <f aca="false">G10/G9</f>
        <v>6761.71800515237</v>
      </c>
      <c r="H16" s="81" t="n">
        <f aca="false">H10/H9</f>
        <v>7291.71795127399</v>
      </c>
      <c r="I16" s="81" t="n">
        <f aca="false">I10/I9</f>
        <v>7820.99574160644</v>
      </c>
      <c r="J16" s="81" t="n">
        <f aca="false">J10/J9</f>
        <v>8381.01181728227</v>
      </c>
      <c r="K16" s="81" t="n">
        <f aca="false">K10/K9</f>
        <v>8967.74091605313</v>
      </c>
      <c r="L16" s="81" t="n">
        <f aca="false">L10/L9</f>
        <v>9588.27623811308</v>
      </c>
    </row>
    <row r="17" customFormat="false" ht="15" hidden="false" customHeight="false" outlineLevel="0" collapsed="false">
      <c r="A17" s="6" t="s">
        <v>916</v>
      </c>
      <c r="B17" s="14" t="s">
        <v>162</v>
      </c>
      <c r="C17" s="85" t="n">
        <f aca="false">(C10+C11+C12)/C9</f>
        <v>5792.57024103326</v>
      </c>
      <c r="D17" s="85" t="n">
        <f aca="false">(D10+D11+D12)/D9</f>
        <v>6579.07634654356</v>
      </c>
      <c r="E17" s="85" t="n">
        <f aca="false">(E10+E11+E12)/E9</f>
        <v>7430.4254885372</v>
      </c>
      <c r="F17" s="85" t="n">
        <f aca="false">(F10+F11+F12)/F9</f>
        <v>8178.05597961875</v>
      </c>
      <c r="G17" s="85" t="n">
        <f aca="false">(G10+G11+G12)/G9</f>
        <v>9005.89688500052</v>
      </c>
      <c r="H17" s="85" t="n">
        <f aca="false">(H10+H11+H12)/H9</f>
        <v>9290.38027350758</v>
      </c>
      <c r="I17" s="85" t="n">
        <f aca="false">(I10+I11+I12)/I9</f>
        <v>9628.96035043218</v>
      </c>
      <c r="J17" s="85" t="n">
        <f aca="false">(J10+J11+J12)/J9</f>
        <v>10028.2562778524</v>
      </c>
      <c r="K17" s="85" t="n">
        <f aca="false">(K10+K11+K12)/K9</f>
        <v>10432.1740625595</v>
      </c>
      <c r="L17" s="85" t="n">
        <f aca="false">(L10+L11+L12)/L9</f>
        <v>10855.1508863374</v>
      </c>
    </row>
    <row r="18" customFormat="false" ht="15" hidden="false" customHeight="false" outlineLevel="0" collapsed="false">
      <c r="A18" s="6" t="s">
        <v>917</v>
      </c>
      <c r="B18" s="14" t="s">
        <v>162</v>
      </c>
      <c r="C18" s="85" t="n">
        <f aca="false">(C10+C12+C13)/C9</f>
        <v>4880.23379756503</v>
      </c>
      <c r="D18" s="85" t="n">
        <f aca="false">(D10+D12+D13)/D9</f>
        <v>5666.69055503512</v>
      </c>
      <c r="E18" s="85" t="n">
        <f aca="false">(E10+E12+E13)/E9</f>
        <v>6457.3328168796</v>
      </c>
      <c r="F18" s="85" t="n">
        <f aca="false">(F10+F12+F13)/F9</f>
        <v>7874.74786250142</v>
      </c>
      <c r="G18" s="85" t="n">
        <f aca="false">(G10+G12+G13)/G9</f>
        <v>9136.70776435894</v>
      </c>
      <c r="H18" s="85" t="n">
        <f aca="false">(H10+H12+H13)/H9</f>
        <v>9868.88086383687</v>
      </c>
      <c r="I18" s="85" t="n">
        <f aca="false">(I10+I12+I13)/I9</f>
        <v>10453.1774339111</v>
      </c>
      <c r="J18" s="85" t="n">
        <f aca="false">(J10+J12+J13)/J9</f>
        <v>11044.8360213142</v>
      </c>
      <c r="K18" s="85" t="n">
        <f aca="false">(K10+K12+K13)/K9</f>
        <v>11637.7931292045</v>
      </c>
      <c r="L18" s="85" t="n">
        <f aca="false">(L10+L12+L13)/L9</f>
        <v>12131.9239269557</v>
      </c>
      <c r="N18" s="14" t="s">
        <v>918</v>
      </c>
    </row>
    <row r="20" customFormat="false" ht="15" hidden="false" customHeight="false" outlineLevel="0" collapsed="false">
      <c r="A20" s="8" t="s">
        <v>919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customFormat="false" ht="15" hidden="false" customHeight="false" outlineLevel="0" collapsed="false">
      <c r="A21" s="7" t="s">
        <v>920</v>
      </c>
      <c r="B21" s="14" t="s">
        <v>129</v>
      </c>
      <c r="C21" s="82" t="n">
        <f aca="false">'Revenue Build'!C$8</f>
        <v>0.2736</v>
      </c>
      <c r="D21" s="82" t="n">
        <f aca="false">'Revenue Build'!D$8</f>
        <v>0.432</v>
      </c>
      <c r="E21" s="82" t="n">
        <f aca="false">'Revenue Build'!E$8</f>
        <v>0.5616</v>
      </c>
      <c r="F21" s="82" t="n">
        <f aca="false">'Revenue Build'!F$8</f>
        <v>0.6408</v>
      </c>
      <c r="G21" s="82" t="n">
        <f aca="false">'Revenue Build'!G$8</f>
        <v>0.6984</v>
      </c>
      <c r="H21" s="82" t="n">
        <f aca="false">'Revenue Build'!H$8</f>
        <v>0.72</v>
      </c>
      <c r="I21" s="82" t="n">
        <f aca="false">'Revenue Build'!I$8</f>
        <v>0.72</v>
      </c>
      <c r="J21" s="82" t="n">
        <f aca="false">'Revenue Build'!J$8</f>
        <v>0.72</v>
      </c>
      <c r="K21" s="82" t="n">
        <f aca="false">'Revenue Build'!K$8</f>
        <v>0.72</v>
      </c>
      <c r="L21" s="82" t="n">
        <f aca="false">'Revenue Build'!L$8</f>
        <v>0.72</v>
      </c>
    </row>
    <row r="22" customFormat="false" ht="15" hidden="false" customHeight="false" outlineLevel="0" collapsed="false">
      <c r="A22" s="7" t="s">
        <v>921</v>
      </c>
      <c r="B22" s="14" t="s">
        <v>129</v>
      </c>
      <c r="C22" s="87" t="n">
        <f aca="false">C21*C16/C6</f>
        <v>0.325736231243373</v>
      </c>
      <c r="D22" s="87" t="n">
        <f aca="false">D21*D16/D6</f>
        <v>0.366997655737992</v>
      </c>
      <c r="E22" s="87" t="n">
        <f aca="false">E21*E16/E6</f>
        <v>0.398430945954493</v>
      </c>
      <c r="F22" s="87" t="n">
        <f aca="false">F21*F16/F6</f>
        <v>0.423445807971841</v>
      </c>
      <c r="G22" s="87" t="n">
        <f aca="false">G21*G16/G6</f>
        <v>0.452359070915323</v>
      </c>
      <c r="H22" s="87" t="n">
        <f aca="false">H21*H16/H6</f>
        <v>0.451730729924796</v>
      </c>
      <c r="I22" s="87" t="n">
        <f aca="false">I21*I16/I6</f>
        <v>0.446816861046746</v>
      </c>
      <c r="J22" s="87" t="n">
        <f aca="false">J21*J16/J6</f>
        <v>0.443973877375808</v>
      </c>
      <c r="K22" s="87" t="n">
        <f aca="false">K21*K16/K6</f>
        <v>0.439713432464631</v>
      </c>
      <c r="L22" s="87" t="n">
        <f aca="false">L21*L16/L6</f>
        <v>0.436083562340396</v>
      </c>
    </row>
    <row r="23" customFormat="false" ht="15" hidden="false" customHeight="false" outlineLevel="0" collapsed="false">
      <c r="A23" s="6" t="s">
        <v>922</v>
      </c>
      <c r="B23" s="14" t="s">
        <v>129</v>
      </c>
      <c r="C23" s="55" t="n">
        <f aca="false">C21*C17/C6</f>
        <v>0.525946944884836</v>
      </c>
      <c r="D23" s="55" t="n">
        <f aca="false">D21*D17/D6</f>
        <v>0.555934185980715</v>
      </c>
      <c r="E23" s="55" t="n">
        <f aca="false">E21*E17/E6</f>
        <v>0.579180712914745</v>
      </c>
      <c r="F23" s="55" t="n">
        <f aca="false">F21*F17/F6</f>
        <v>0.590130550717352</v>
      </c>
      <c r="G23" s="55" t="n">
        <f aca="false">G21*G17/G6</f>
        <v>0.602494683237863</v>
      </c>
      <c r="H23" s="55" t="n">
        <f aca="false">H21*H17/H6</f>
        <v>0.575550273649472</v>
      </c>
      <c r="I23" s="55" t="n">
        <f aca="false">I21*I17/I6</f>
        <v>0.550106659186081</v>
      </c>
      <c r="J23" s="55" t="n">
        <f aca="false">J21*J17/J6</f>
        <v>0.531234643270096</v>
      </c>
      <c r="K23" s="55" t="n">
        <f aca="false">K21*K17/K6</f>
        <v>0.511518687711537</v>
      </c>
      <c r="L23" s="55" t="n">
        <f aca="false">L21*L17/L6</f>
        <v>0.493702178650216</v>
      </c>
    </row>
    <row r="24" customFormat="false" ht="15" hidden="false" customHeight="false" outlineLevel="0" collapsed="false">
      <c r="A24" s="6" t="s">
        <v>923</v>
      </c>
      <c r="B24" s="14" t="s">
        <v>129</v>
      </c>
      <c r="C24" s="55" t="n">
        <f aca="false">C21*C18/C6</f>
        <v>0.443109699036675</v>
      </c>
      <c r="D24" s="55" t="n">
        <f aca="false">D21*D18/D6</f>
        <v>0.478837276690539</v>
      </c>
      <c r="E24" s="55" t="n">
        <f aca="false">E21*E18/E6</f>
        <v>0.503330883295672</v>
      </c>
      <c r="F24" s="55" t="n">
        <f aca="false">F21*F18/F6</f>
        <v>0.568243761651886</v>
      </c>
      <c r="G24" s="55" t="n">
        <f aca="false">G21*G18/G6</f>
        <v>0.611245933705141</v>
      </c>
      <c r="H24" s="55" t="n">
        <f aca="false">H21*H18/H6</f>
        <v>0.611389083608614</v>
      </c>
      <c r="I24" s="55" t="n">
        <f aca="false">I21*I18/I6</f>
        <v>0.597194536769494</v>
      </c>
      <c r="J24" s="55" t="n">
        <f aca="false">J21*J18/J6</f>
        <v>0.585086715097005</v>
      </c>
      <c r="K24" s="55" t="n">
        <f aca="false">K21*K18/K6</f>
        <v>0.570633564356814</v>
      </c>
      <c r="L24" s="55" t="n">
        <f aca="false">L21*L18/L6</f>
        <v>0.551770982888438</v>
      </c>
    </row>
    <row r="25" customFormat="false" ht="15" hidden="false" customHeight="false" outlineLevel="0" collapsed="false">
      <c r="A25" s="6" t="s">
        <v>924</v>
      </c>
      <c r="B25" s="14" t="s">
        <v>925</v>
      </c>
      <c r="C25" s="55" t="n">
        <f aca="false">C21-C24</f>
        <v>-0.169509699036675</v>
      </c>
      <c r="D25" s="55" t="n">
        <f aca="false">D21-D24</f>
        <v>-0.0468372766905388</v>
      </c>
      <c r="E25" s="55" t="n">
        <f aca="false">E21-E24</f>
        <v>0.0582691167043282</v>
      </c>
      <c r="F25" s="55" t="n">
        <f aca="false">F21-F24</f>
        <v>0.0725562383481145</v>
      </c>
      <c r="G25" s="55" t="n">
        <f aca="false">G21-G24</f>
        <v>0.0871540662948589</v>
      </c>
      <c r="H25" s="55" t="n">
        <f aca="false">H21-H24</f>
        <v>0.108610916391386</v>
      </c>
      <c r="I25" s="55" t="n">
        <f aca="false">I21-I24</f>
        <v>0.122805463230506</v>
      </c>
      <c r="J25" s="55" t="n">
        <f aca="false">J21-J24</f>
        <v>0.134913284902995</v>
      </c>
      <c r="K25" s="55" t="n">
        <f aca="false">K21-K24</f>
        <v>0.149366435643186</v>
      </c>
      <c r="L25" s="55" t="n">
        <f aca="false">L21-L24</f>
        <v>0.168229017111562</v>
      </c>
      <c r="N25" s="14" t="s">
        <v>926</v>
      </c>
    </row>
    <row r="27" customFormat="false" ht="15" hidden="false" customHeight="false" outlineLevel="0" collapsed="false">
      <c r="A27" s="8" t="s">
        <v>927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</row>
    <row r="28" customFormat="false" ht="15" hidden="false" customHeight="false" outlineLevel="0" collapsed="false">
      <c r="A28" s="7" t="s">
        <v>928</v>
      </c>
      <c r="B28" s="14" t="s">
        <v>132</v>
      </c>
      <c r="C28" s="90" t="n">
        <f aca="false">IFERROR(C8/'P&amp;L'!C$24,0)</f>
        <v>-2.02706491597942</v>
      </c>
      <c r="D28" s="90" t="n">
        <f aca="false">IFERROR(D8/'P&amp;L'!D$24,0)</f>
        <v>-35.7185230716322</v>
      </c>
      <c r="E28" s="90" t="n">
        <f aca="false">IFERROR(E8/'P&amp;L'!E$24,0)</f>
        <v>6.43157338706259</v>
      </c>
      <c r="F28" s="90" t="n">
        <f aca="false">IFERROR(F8/'P&amp;L'!F$24,0)</f>
        <v>4.40052757142854</v>
      </c>
      <c r="G28" s="90" t="n">
        <f aca="false">IFERROR(G8/'P&amp;L'!G$24,0)</f>
        <v>3.92812874799755</v>
      </c>
      <c r="H28" s="90" t="n">
        <f aca="false">IFERROR(H8/'P&amp;L'!H$24,0)</f>
        <v>3.40513619131311</v>
      </c>
      <c r="I28" s="90" t="n">
        <f aca="false">IFERROR(I8/'P&amp;L'!I$24,0)</f>
        <v>3.2469764010072</v>
      </c>
      <c r="J28" s="90" t="n">
        <f aca="false">IFERROR(J8/'P&amp;L'!J$24,0)</f>
        <v>3.18076328645584</v>
      </c>
      <c r="K28" s="90" t="n">
        <f aca="false">IFERROR(K8/'P&amp;L'!K$24,0)</f>
        <v>3.09860615834086</v>
      </c>
      <c r="L28" s="90" t="n">
        <f aca="false">IFERROR(L8/'P&amp;L'!L$24,0)</f>
        <v>3.03166687196271</v>
      </c>
      <c r="N28" s="14" t="s">
        <v>929</v>
      </c>
    </row>
    <row r="29" customFormat="false" ht="15" hidden="false" customHeight="false" outlineLevel="0" collapsed="false">
      <c r="A29" s="7" t="s">
        <v>930</v>
      </c>
      <c r="B29" s="14" t="s">
        <v>132</v>
      </c>
      <c r="C29" s="90" t="n">
        <f aca="false">IFERROR('P&amp;L'!C$24/'P&amp;L'!C$28,0)</f>
        <v>0.534872641922144</v>
      </c>
      <c r="D29" s="90" t="n">
        <f aca="false">IFERROR('P&amp;L'!D$24/'P&amp;L'!D$28,0)</f>
        <v>0.0975886107006076</v>
      </c>
      <c r="E29" s="90" t="n">
        <f aca="false">IFERROR('P&amp;L'!E$24/'P&amp;L'!E$28,0)</f>
        <v>-4.96676243164189</v>
      </c>
      <c r="F29" s="90" t="n">
        <f aca="false">IFERROR('P&amp;L'!F$24/'P&amp;L'!F$28,0)</f>
        <v>2.87389947223023</v>
      </c>
      <c r="G29" s="90" t="n">
        <f aca="false">IFERROR('P&amp;L'!G$24/'P&amp;L'!G$28,0)</f>
        <v>1.85385529983332</v>
      </c>
      <c r="H29" s="90" t="n">
        <f aca="false">IFERROR('P&amp;L'!H$24/'P&amp;L'!H$28,0)</f>
        <v>1.46379846167547</v>
      </c>
      <c r="I29" s="90" t="n">
        <f aca="false">IFERROR('P&amp;L'!I$24/'P&amp;L'!I$28,0)</f>
        <v>1.30519982764182</v>
      </c>
      <c r="J29" s="90" t="n">
        <f aca="false">IFERROR('P&amp;L'!J$24/'P&amp;L'!J$28,0)</f>
        <v>1.19916474889285</v>
      </c>
      <c r="K29" s="90" t="n">
        <f aca="false">IFERROR('P&amp;L'!K$24/'P&amp;L'!K$28,0)</f>
        <v>1.11454853331793</v>
      </c>
      <c r="L29" s="90" t="n">
        <f aca="false">IFERROR('P&amp;L'!L$24/'P&amp;L'!L$28,0)</f>
        <v>1.04947149112362</v>
      </c>
    </row>
    <row r="30" customFormat="false" ht="15" hidden="false" customHeight="false" outlineLevel="0" collapsed="false">
      <c r="A30" s="6" t="s">
        <v>931</v>
      </c>
      <c r="B30" s="14" t="s">
        <v>132</v>
      </c>
      <c r="C30" s="104" t="n">
        <f aca="false">C28*C29</f>
        <v>-1.0842215669576</v>
      </c>
      <c r="D30" s="104" t="n">
        <f aca="false">D28*D29</f>
        <v>-3.48572104283818</v>
      </c>
      <c r="E30" s="104" t="n">
        <f aca="false">E28*E29</f>
        <v>-31.9440970752103</v>
      </c>
      <c r="F30" s="104" t="n">
        <f aca="false">F28*F29</f>
        <v>12.6466738650631</v>
      </c>
      <c r="G30" s="104" t="n">
        <f aca="false">G28*G29</f>
        <v>7.28218229790288</v>
      </c>
      <c r="H30" s="104" t="n">
        <f aca="false">H28*H29</f>
        <v>4.9844331186396</v>
      </c>
      <c r="I30" s="104" t="n">
        <f aca="false">I28*I29</f>
        <v>4.23795303895167</v>
      </c>
      <c r="J30" s="104" t="n">
        <f aca="false">J28*J29</f>
        <v>3.8142592076904</v>
      </c>
      <c r="K30" s="104" t="n">
        <f aca="false">K28*K29</f>
        <v>3.4535469491087</v>
      </c>
      <c r="L30" s="104" t="n">
        <f aca="false">L28*L29</f>
        <v>3.18164795270879</v>
      </c>
      <c r="N30" s="14" t="s">
        <v>932</v>
      </c>
    </row>
    <row r="32" customFormat="false" ht="15" hidden="false" customHeight="false" outlineLevel="0" collapsed="false">
      <c r="A32" s="14" t="s">
        <v>933</v>
      </c>
    </row>
    <row r="33" customFormat="false" ht="15" hidden="false" customHeight="false" outlineLevel="0" collapsed="false">
      <c r="A33" s="14" t="s">
        <v>934</v>
      </c>
    </row>
    <row r="34" customFormat="false" ht="15" hidden="false" customHeight="false" outlineLevel="0" collapsed="false">
      <c r="A34" s="14" t="s">
        <v>935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O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5"/>
    <col collapsed="false" customWidth="true" hidden="false" outlineLevel="0" max="16" min="3" style="0" width="13"/>
  </cols>
  <sheetData>
    <row r="1" customFormat="false" ht="24" hidden="false" customHeight="true" outlineLevel="0" collapsed="false">
      <c r="A1" s="15" t="s">
        <v>936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" hidden="false" customHeight="false" outlineLevel="0" collapsed="false">
      <c r="A2" s="16" t="s">
        <v>937</v>
      </c>
    </row>
    <row r="4" customFormat="false" ht="15" hidden="false" customHeight="false" outlineLevel="0" collapsed="false">
      <c r="A4" s="50" t="s">
        <v>938</v>
      </c>
      <c r="B4" s="50" t="s">
        <v>122</v>
      </c>
      <c r="C4" s="51" t="s">
        <v>241</v>
      </c>
      <c r="D4" s="51" t="s">
        <v>242</v>
      </c>
      <c r="E4" s="51" t="s">
        <v>243</v>
      </c>
      <c r="F4" s="51" t="s">
        <v>244</v>
      </c>
      <c r="G4" s="51" t="s">
        <v>245</v>
      </c>
      <c r="H4" s="51" t="s">
        <v>246</v>
      </c>
      <c r="I4" s="51" t="s">
        <v>247</v>
      </c>
      <c r="J4" s="51" t="s">
        <v>248</v>
      </c>
      <c r="K4" s="51" t="s">
        <v>249</v>
      </c>
      <c r="L4" s="51" t="s">
        <v>250</v>
      </c>
    </row>
    <row r="5" customFormat="false" ht="15" hidden="false" customHeight="false" outlineLevel="0" collapsed="false">
      <c r="A5" s="52" t="s">
        <v>251</v>
      </c>
      <c r="B5" s="9"/>
      <c r="C5" s="53" t="s">
        <v>252</v>
      </c>
      <c r="D5" s="53" t="s">
        <v>253</v>
      </c>
      <c r="E5" s="53" t="s">
        <v>254</v>
      </c>
      <c r="F5" s="53" t="s">
        <v>255</v>
      </c>
      <c r="G5" s="53" t="s">
        <v>256</v>
      </c>
      <c r="H5" s="53" t="s">
        <v>257</v>
      </c>
      <c r="I5" s="53" t="s">
        <v>258</v>
      </c>
      <c r="J5" s="53" t="s">
        <v>259</v>
      </c>
      <c r="K5" s="53" t="s">
        <v>260</v>
      </c>
      <c r="L5" s="53" t="s">
        <v>261</v>
      </c>
    </row>
    <row r="6" customFormat="false" ht="15" hidden="false" customHeight="false" outlineLevel="0" collapsed="false">
      <c r="A6" s="8" t="s">
        <v>939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customFormat="false" ht="15" hidden="false" customHeight="false" outlineLevel="0" collapsed="false">
      <c r="A7" s="7" t="s">
        <v>940</v>
      </c>
      <c r="B7" s="14" t="s">
        <v>162</v>
      </c>
      <c r="C7" s="86" t="n">
        <f aca="false">'Revenue Build'!C$43/Assumptions!$C$5</f>
        <v>30.13321464</v>
      </c>
      <c r="D7" s="86" t="n">
        <f aca="false">'Revenue Build'!D$43/Assumptions!$C$5</f>
        <v>51.12405485</v>
      </c>
      <c r="E7" s="86" t="n">
        <f aca="false">'Revenue Build'!E$43/Assumptions!$C$5</f>
        <v>72.048789977175</v>
      </c>
      <c r="F7" s="86" t="n">
        <f aca="false">'Revenue Build'!F$43/Assumptions!$C$5</f>
        <v>88.8023550953164</v>
      </c>
      <c r="G7" s="86" t="n">
        <f aca="false">'Revenue Build'!G$43/Assumptions!$C$5</f>
        <v>104.39458736271</v>
      </c>
      <c r="H7" s="86" t="n">
        <f aca="false">'Revenue Build'!H$43/Assumptions!$C$5</f>
        <v>116.22049546621</v>
      </c>
      <c r="I7" s="86" t="n">
        <f aca="false">'Revenue Build'!I$43/Assumptions!$C$5</f>
        <v>126.02740462311</v>
      </c>
      <c r="J7" s="86" t="n">
        <f aca="false">'Revenue Build'!J$43/Assumptions!$C$5</f>
        <v>135.916296339557</v>
      </c>
      <c r="K7" s="86" t="n">
        <f aca="false">'Revenue Build'!K$43/Assumptions!$C$5</f>
        <v>146.840487072853</v>
      </c>
      <c r="L7" s="86" t="n">
        <f aca="false">'Revenue Build'!L$43/Assumptions!$C$5</f>
        <v>158.308165856815</v>
      </c>
    </row>
    <row r="8" customFormat="false" ht="15" hidden="false" customHeight="false" outlineLevel="0" collapsed="false">
      <c r="A8" s="7" t="s">
        <v>941</v>
      </c>
      <c r="B8" s="14" t="s">
        <v>162</v>
      </c>
      <c r="C8" s="86" t="n">
        <f aca="false">'Operating Costs'!C$26/Assumptions!$C$5</f>
        <v>-3.8636060876</v>
      </c>
      <c r="D8" s="86" t="n">
        <f aca="false">'Operating Costs'!D$26/Assumptions!$C$5</f>
        <v>5.17572162539999</v>
      </c>
      <c r="E8" s="86" t="n">
        <f aca="false">'Operating Costs'!E$26/Assumptions!$C$5</f>
        <v>14.0930936832075</v>
      </c>
      <c r="F8" s="86" t="n">
        <f aca="false">'Operating Costs'!F$26/Assumptions!$C$5</f>
        <v>20.2865082182417</v>
      </c>
      <c r="G8" s="86" t="n">
        <f aca="false">'Operating Costs'!G$26/Assumptions!$C$5</f>
        <v>24.7782306017937</v>
      </c>
      <c r="H8" s="86" t="n">
        <f aca="false">'Operating Costs'!H$26/Assumptions!$C$5</f>
        <v>29.1842820495664</v>
      </c>
      <c r="I8" s="86" t="n">
        <f aca="false">'Operating Costs'!I$26/Assumptions!$C$5</f>
        <v>32.2502646884253</v>
      </c>
      <c r="J8" s="86" t="n">
        <f aca="false">'Operating Costs'!J$26/Assumptions!$C$5</f>
        <v>35.1500326222168</v>
      </c>
      <c r="K8" s="86" t="n">
        <f aca="false">'Operating Costs'!K$26/Assumptions!$C$5</f>
        <v>38.5793009991592</v>
      </c>
      <c r="L8" s="86" t="n">
        <f aca="false">'Operating Costs'!L$26/Assumptions!$C$5</f>
        <v>42.1383058231209</v>
      </c>
    </row>
    <row r="9" customFormat="false" ht="15" hidden="false" customHeight="false" outlineLevel="0" collapsed="false">
      <c r="A9" s="7" t="s">
        <v>942</v>
      </c>
      <c r="B9" s="14" t="s">
        <v>162</v>
      </c>
      <c r="C9" s="86" t="n">
        <f aca="false">Manpower!C$30/Assumptions!$C$5</f>
        <v>14.939</v>
      </c>
      <c r="D9" s="86" t="n">
        <f aca="false">Manpower!D$30/Assumptions!$C$5</f>
        <v>18.57168</v>
      </c>
      <c r="E9" s="86" t="n">
        <f aca="false">Manpower!E$30/Assumptions!$C$5</f>
        <v>21.4629264</v>
      </c>
      <c r="F9" s="86" t="n">
        <f aca="false">Manpower!F$30/Assumptions!$C$5</f>
        <v>24.071836608</v>
      </c>
      <c r="G9" s="86" t="n">
        <f aca="false">Manpower!G$30/Assumptions!$C$5</f>
        <v>26.45606831616</v>
      </c>
      <c r="H9" s="86" t="n">
        <f aca="false">Manpower!H$30/Assumptions!$C$5</f>
        <v>28.5725537814528</v>
      </c>
      <c r="I9" s="86" t="n">
        <f aca="false">Manpower!I$30/Assumptions!$C$5</f>
        <v>30.858358083969</v>
      </c>
      <c r="J9" s="86" t="n">
        <f aca="false">Manpower!J$30/Assumptions!$C$5</f>
        <v>33.3270267306866</v>
      </c>
      <c r="K9" s="86" t="n">
        <f aca="false">Manpower!K$30/Assumptions!$C$5</f>
        <v>35.9931888691415</v>
      </c>
      <c r="L9" s="86" t="n">
        <f aca="false">Manpower!L$30/Assumptions!$C$5</f>
        <v>38.8726439786728</v>
      </c>
    </row>
    <row r="10" customFormat="false" ht="15" hidden="false" customHeight="false" outlineLevel="0" collapsed="false">
      <c r="A10" s="7" t="s">
        <v>943</v>
      </c>
      <c r="B10" s="14" t="s">
        <v>162</v>
      </c>
      <c r="C10" s="86" t="n">
        <f aca="false">'Operating Costs'!C$8/Assumptions!$C$5</f>
        <v>6.9306393672</v>
      </c>
      <c r="D10" s="86" t="n">
        <f aca="false">'Operating Costs'!D$8/Assumptions!$C$5</f>
        <v>11.7585326155</v>
      </c>
      <c r="E10" s="86" t="n">
        <f aca="false">'Operating Costs'!E$8/Assumptions!$C$5</f>
        <v>16.5712216947502</v>
      </c>
      <c r="F10" s="86" t="n">
        <f aca="false">'Operating Costs'!F$8/Assumptions!$C$5</f>
        <v>20.4245416719228</v>
      </c>
      <c r="G10" s="86" t="n">
        <f aca="false">'Operating Costs'!G$8/Assumptions!$C$5</f>
        <v>24.0107550934234</v>
      </c>
      <c r="H10" s="86" t="n">
        <f aca="false">'Operating Costs'!H$8/Assumptions!$C$5</f>
        <v>26.7307139572284</v>
      </c>
      <c r="I10" s="86" t="n">
        <f aca="false">'Operating Costs'!I$8/Assumptions!$C$5</f>
        <v>28.9863030633154</v>
      </c>
      <c r="J10" s="86" t="n">
        <f aca="false">'Operating Costs'!J$8/Assumptions!$C$5</f>
        <v>31.2607481580981</v>
      </c>
      <c r="K10" s="86" t="n">
        <f aca="false">'Operating Costs'!K$8/Assumptions!$C$5</f>
        <v>33.7733120267562</v>
      </c>
      <c r="L10" s="86" t="n">
        <f aca="false">'Operating Costs'!L$8/Assumptions!$C$5</f>
        <v>36.4108781470675</v>
      </c>
    </row>
    <row r="11" customFormat="false" ht="15" hidden="false" customHeight="false" outlineLevel="0" collapsed="false">
      <c r="A11" s="7" t="s">
        <v>944</v>
      </c>
      <c r="B11" s="14" t="s">
        <v>162</v>
      </c>
      <c r="C11" s="86" t="n">
        <f aca="false">'P&amp;L'!C$38/Assumptions!$C$5</f>
        <v>-18.700415607203</v>
      </c>
      <c r="D11" s="86" t="n">
        <f aca="false">'P&amp;L'!D$38/Assumptions!$C$5</f>
        <v>-9.86808789420297</v>
      </c>
      <c r="E11" s="86" t="n">
        <f aca="false">'P&amp;L'!E$38/Assumptions!$C$5</f>
        <v>-1.51846583639548</v>
      </c>
      <c r="F11" s="86" t="n">
        <f aca="false">'P&amp;L'!F$38/Assumptions!$C$5</f>
        <v>4.72917586587448</v>
      </c>
      <c r="G11" s="86" t="n">
        <f aca="false">'P&amp;L'!G$38/Assumptions!$C$5</f>
        <v>9.65840953174278</v>
      </c>
      <c r="H11" s="86" t="n">
        <f aca="false">'P&amp;L'!H$38/Assumptions!$C$5</f>
        <v>15.7105396918256</v>
      </c>
      <c r="I11" s="86" t="n">
        <f aca="false">'P&amp;L'!I$38/Assumptions!$C$5</f>
        <v>15.0087008535546</v>
      </c>
      <c r="J11" s="86" t="n">
        <f aca="false">'P&amp;L'!J$38/Assumptions!$C$5</f>
        <v>17.9880958579398</v>
      </c>
      <c r="K11" s="86" t="n">
        <f aca="false">'P&amp;L'!K$38/Assumptions!$C$5</f>
        <v>21.4736838129235</v>
      </c>
      <c r="L11" s="86" t="n">
        <f aca="false">'P&amp;L'!L$38/Assumptions!$C$5</f>
        <v>25.1335745325301</v>
      </c>
    </row>
    <row r="12" customFormat="false" ht="15" hidden="false" customHeight="false" outlineLevel="0" collapsed="false">
      <c r="A12" s="7" t="s">
        <v>945</v>
      </c>
      <c r="B12" s="14" t="s">
        <v>162</v>
      </c>
      <c r="C12" s="86" t="n">
        <f aca="false">'Balance Sheet'!C$34/Assumptions!$C$5</f>
        <v>114.8178067553</v>
      </c>
      <c r="D12" s="86" t="n">
        <f aca="false">'Balance Sheet'!D$34/Assumptions!$C$5</f>
        <v>108.417089600695</v>
      </c>
      <c r="E12" s="86" t="n">
        <f aca="false">'Balance Sheet'!E$34/Assumptions!$C$5</f>
        <v>109.935517574863</v>
      </c>
      <c r="F12" s="86" t="n">
        <f aca="false">'Balance Sheet'!F$34/Assumptions!$C$5</f>
        <v>111.80656074738</v>
      </c>
      <c r="G12" s="86" t="n">
        <f aca="false">'Balance Sheet'!G$34/Assumptions!$C$5</f>
        <v>115.519727661287</v>
      </c>
      <c r="H12" s="86" t="n">
        <f aca="false">'Balance Sheet'!H$34/Assumptions!$C$5</f>
        <v>122.099089688335</v>
      </c>
      <c r="I12" s="86" t="n">
        <f aca="false">'Balance Sheet'!I$34/Assumptions!$C$5</f>
        <v>126.268943594387</v>
      </c>
      <c r="J12" s="86" t="n">
        <f aca="false">'Balance Sheet'!J$34/Assumptions!$C$5</f>
        <v>131.873709045934</v>
      </c>
      <c r="K12" s="86" t="n">
        <f aca="false">'Balance Sheet'!K$34/Assumptions!$C$5</f>
        <v>139.493624258135</v>
      </c>
      <c r="L12" s="86" t="n">
        <f aca="false">'Balance Sheet'!L$34/Assumptions!$C$5</f>
        <v>150.040218004209</v>
      </c>
    </row>
    <row r="14" customFormat="false" ht="15" hidden="false" customHeight="false" outlineLevel="0" collapsed="false">
      <c r="A14" s="8" t="s">
        <v>946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customFormat="false" ht="15" hidden="false" customHeight="false" outlineLevel="0" collapsed="false">
      <c r="A15" s="7" t="s">
        <v>947</v>
      </c>
      <c r="B15" s="14" t="s">
        <v>271</v>
      </c>
      <c r="C15" s="81" t="n">
        <f aca="false">'Revenue Build'!C$43*100000/'Revenue Build'!C$9</f>
        <v>30174.2516222062</v>
      </c>
      <c r="D15" s="81" t="n">
        <f aca="false">'Revenue Build'!D$43*100000/'Revenue Build'!D$9</f>
        <v>32422.6628932014</v>
      </c>
      <c r="E15" s="81" t="n">
        <f aca="false">'Revenue Build'!E$43*100000/'Revenue Build'!E$9</f>
        <v>35148.4945055102</v>
      </c>
      <c r="F15" s="81" t="n">
        <f aca="false">'Revenue Build'!F$43*100000/'Revenue Build'!F$9</f>
        <v>37967.2477448209</v>
      </c>
      <c r="G15" s="81" t="n">
        <f aca="false">'Revenue Build'!G$43*100000/'Revenue Build'!G$9</f>
        <v>40952.5441175565</v>
      </c>
      <c r="H15" s="81" t="n">
        <f aca="false">'Revenue Build'!H$43*100000/'Revenue Build'!H$9</f>
        <v>44223.932825803</v>
      </c>
      <c r="I15" s="81" t="n">
        <f aca="false">'Revenue Build'!I$43*100000/'Revenue Build'!I$9</f>
        <v>47955.6334182307</v>
      </c>
      <c r="J15" s="81" t="n">
        <f aca="false">'Revenue Build'!J$43*100000/'Revenue Build'!J$9</f>
        <v>51718.5298095726</v>
      </c>
      <c r="K15" s="81" t="n">
        <f aca="false">'Revenue Build'!K$43*100000/'Revenue Build'!K$9</f>
        <v>55875.3755984981</v>
      </c>
      <c r="L15" s="81" t="n">
        <f aca="false">'Revenue Build'!L$43*100000/'Revenue Build'!L$9</f>
        <v>60239.0281038109</v>
      </c>
    </row>
    <row r="16" customFormat="false" ht="15" hidden="false" customHeight="false" outlineLevel="0" collapsed="false">
      <c r="A16" s="6" t="s">
        <v>948</v>
      </c>
      <c r="B16" s="14" t="s">
        <v>271</v>
      </c>
      <c r="C16" s="85" t="n">
        <f aca="false">'Revenue Build'!C$14</f>
        <v>24088.5</v>
      </c>
      <c r="D16" s="85" t="n">
        <f aca="false">'Revenue Build'!D$14</f>
        <v>25895.1375</v>
      </c>
      <c r="E16" s="85" t="n">
        <f aca="false">'Revenue Build'!E$14</f>
        <v>27837.2728125</v>
      </c>
      <c r="F16" s="85" t="n">
        <f aca="false">'Revenue Build'!F$14</f>
        <v>29925.0682734375</v>
      </c>
      <c r="G16" s="85" t="n">
        <f aca="false">'Revenue Build'!G$14</f>
        <v>32169.4483939453</v>
      </c>
      <c r="H16" s="85" t="n">
        <f aca="false">'Revenue Build'!H$14</f>
        <v>34582.1570234912</v>
      </c>
      <c r="I16" s="85" t="n">
        <f aca="false">'Revenue Build'!I$14</f>
        <v>37175.818800253</v>
      </c>
      <c r="J16" s="85" t="n">
        <f aca="false">'Revenue Build'!J$14</f>
        <v>39964.005210272</v>
      </c>
      <c r="K16" s="85" t="n">
        <f aca="false">'Revenue Build'!K$14</f>
        <v>42961.3056010424</v>
      </c>
      <c r="L16" s="85" t="n">
        <f aca="false">'Revenue Build'!L$14</f>
        <v>46183.4035211206</v>
      </c>
    </row>
    <row r="17" customFormat="false" ht="15" hidden="false" customHeight="false" outlineLevel="0" collapsed="false">
      <c r="A17" s="7" t="s">
        <v>949</v>
      </c>
      <c r="B17" s="14" t="s">
        <v>271</v>
      </c>
      <c r="C17" s="81" t="n">
        <f aca="false">'Operating Costs'!C$22*100000/'Revenue Build'!C$9</f>
        <v>34043.1193699431</v>
      </c>
      <c r="D17" s="81" t="n">
        <f aca="false">'Operating Costs'!D$22*100000/'Revenue Build'!D$9</f>
        <v>29140.2417710553</v>
      </c>
      <c r="E17" s="81" t="n">
        <f aca="false">'Operating Costs'!E$22*100000/'Revenue Build'!E$9</f>
        <v>28273.2780577838</v>
      </c>
      <c r="F17" s="81" t="n">
        <f aca="false">'Operating Costs'!F$22*100000/'Revenue Build'!F$9</f>
        <v>29293.796657036</v>
      </c>
      <c r="G17" s="81" t="n">
        <f aca="false">'Operating Costs'!G$22*100000/'Revenue Build'!G$9</f>
        <v>31232.3890069343</v>
      </c>
      <c r="H17" s="81" t="n">
        <f aca="false">'Operating Costs'!H$22*100000/'Revenue Build'!H$9</f>
        <v>33118.8026699558</v>
      </c>
      <c r="I17" s="81" t="n">
        <f aca="false">'Operating Costs'!I$22*100000/'Revenue Build'!I$9</f>
        <v>35683.843201935</v>
      </c>
      <c r="J17" s="81" t="n">
        <f aca="false">'Operating Costs'!J$22*100000/'Revenue Build'!J$9</f>
        <v>38343.3271374962</v>
      </c>
      <c r="K17" s="81" t="n">
        <f aca="false">'Operating Costs'!K$22*100000/'Revenue Build'!K$9</f>
        <v>41195.2762837496</v>
      </c>
      <c r="L17" s="81" t="n">
        <f aca="false">'Operating Costs'!L$22*100000/'Revenue Build'!L$9</f>
        <v>44204.6651574179</v>
      </c>
    </row>
    <row r="18" customFormat="false" ht="15" hidden="false" customHeight="false" outlineLevel="0" collapsed="false">
      <c r="A18" s="6" t="s">
        <v>950</v>
      </c>
      <c r="B18" s="14" t="s">
        <v>271</v>
      </c>
      <c r="C18" s="85" t="n">
        <f aca="false">C15-C17</f>
        <v>-3868.86774773691</v>
      </c>
      <c r="D18" s="85" t="n">
        <f aca="false">D15-D17</f>
        <v>3282.42112214611</v>
      </c>
      <c r="E18" s="85" t="n">
        <f aca="false">E15-E17</f>
        <v>6875.21644772641</v>
      </c>
      <c r="F18" s="85" t="n">
        <f aca="false">F15-F17</f>
        <v>8673.45108778483</v>
      </c>
      <c r="G18" s="85" t="n">
        <f aca="false">G15-G17</f>
        <v>9720.15511062222</v>
      </c>
      <c r="H18" s="85" t="n">
        <f aca="false">H15-H17</f>
        <v>11105.1301558472</v>
      </c>
      <c r="I18" s="85" t="n">
        <f aca="false">I15-I17</f>
        <v>12271.7902162958</v>
      </c>
      <c r="J18" s="85" t="n">
        <f aca="false">J15-J17</f>
        <v>13375.2026720764</v>
      </c>
      <c r="K18" s="85" t="n">
        <f aca="false">K15-K17</f>
        <v>14680.0993147486</v>
      </c>
      <c r="L18" s="85" t="n">
        <f aca="false">L15-L17</f>
        <v>16034.362946393</v>
      </c>
    </row>
    <row r="20" customFormat="false" ht="15" hidden="false" customHeight="false" outlineLevel="0" collapsed="false">
      <c r="A20" s="8" t="s">
        <v>951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customFormat="false" ht="15" hidden="false" customHeight="false" outlineLevel="0" collapsed="false">
      <c r="A21" s="7" t="s">
        <v>952</v>
      </c>
      <c r="B21" s="14" t="s">
        <v>271</v>
      </c>
      <c r="C21" s="79" t="n">
        <f aca="false">'Revenue Build'!C$58</f>
        <v>93945.15</v>
      </c>
      <c r="D21" s="79" t="n">
        <f aca="false">'Revenue Build'!D$58</f>
        <v>100991.03625</v>
      </c>
      <c r="E21" s="79" t="n">
        <f aca="false">'Revenue Build'!E$58</f>
        <v>108565.36396875</v>
      </c>
      <c r="F21" s="79" t="n">
        <f aca="false">'Revenue Build'!F$58</f>
        <v>116707.766266406</v>
      </c>
      <c r="G21" s="79" t="n">
        <f aca="false">'Revenue Build'!G$58</f>
        <v>125460.848736387</v>
      </c>
      <c r="H21" s="79" t="n">
        <f aca="false">'Revenue Build'!H$58</f>
        <v>134870.412391616</v>
      </c>
      <c r="I21" s="79" t="n">
        <f aca="false">'Revenue Build'!I$58</f>
        <v>144985.693320987</v>
      </c>
      <c r="J21" s="79" t="n">
        <f aca="false">'Revenue Build'!J$58</f>
        <v>155859.620320061</v>
      </c>
      <c r="K21" s="79" t="n">
        <f aca="false">'Revenue Build'!K$58</f>
        <v>167549.091844065</v>
      </c>
      <c r="L21" s="79" t="n">
        <f aca="false">'Revenue Build'!L$58</f>
        <v>180115.27373237</v>
      </c>
    </row>
    <row r="22" customFormat="false" ht="15" hidden="false" customHeight="false" outlineLevel="0" collapsed="false">
      <c r="A22" s="7" t="s">
        <v>953</v>
      </c>
      <c r="B22" s="14" t="s">
        <v>504</v>
      </c>
      <c r="C22" s="79" t="n">
        <f aca="false">'Revenue Build'!C$11</f>
        <v>2560.61538461538</v>
      </c>
      <c r="D22" s="79" t="n">
        <f aca="false">'Revenue Build'!D$11</f>
        <v>4043.07692307692</v>
      </c>
      <c r="E22" s="79" t="n">
        <f aca="false">'Revenue Build'!E$11</f>
        <v>5256</v>
      </c>
      <c r="F22" s="79" t="n">
        <f aca="false">'Revenue Build'!F$11</f>
        <v>5997.23076923077</v>
      </c>
      <c r="G22" s="79" t="n">
        <f aca="false">'Revenue Build'!G$11</f>
        <v>6536.30769230769</v>
      </c>
      <c r="H22" s="79" t="n">
        <f aca="false">'Revenue Build'!H$11</f>
        <v>6738.46153846154</v>
      </c>
      <c r="I22" s="79" t="n">
        <f aca="false">'Revenue Build'!I$11</f>
        <v>6738.46153846154</v>
      </c>
      <c r="J22" s="79" t="n">
        <f aca="false">'Revenue Build'!J$11</f>
        <v>6738.46153846154</v>
      </c>
      <c r="K22" s="79" t="n">
        <f aca="false">'Revenue Build'!K$11</f>
        <v>6738.46153846154</v>
      </c>
      <c r="L22" s="79" t="n">
        <f aca="false">'Revenue Build'!L$11</f>
        <v>6738.46153846154</v>
      </c>
    </row>
    <row r="23" customFormat="false" ht="15" hidden="false" customHeight="false" outlineLevel="0" collapsed="false">
      <c r="A23" s="7" t="s">
        <v>954</v>
      </c>
      <c r="B23" s="14" t="s">
        <v>203</v>
      </c>
      <c r="C23" s="86" t="n">
        <f aca="false">C22/Assumptions!$C$5</f>
        <v>25.6061538461539</v>
      </c>
      <c r="D23" s="86" t="n">
        <f aca="false">D22/Assumptions!$C$5</f>
        <v>40.4307692307692</v>
      </c>
      <c r="E23" s="86" t="n">
        <f aca="false">E22/Assumptions!$C$5</f>
        <v>52.56</v>
      </c>
      <c r="F23" s="86" t="n">
        <f aca="false">F22/Assumptions!$C$5</f>
        <v>59.9723076923077</v>
      </c>
      <c r="G23" s="86" t="n">
        <f aca="false">G22/Assumptions!$C$5</f>
        <v>65.3630769230769</v>
      </c>
      <c r="H23" s="86" t="n">
        <f aca="false">H22/Assumptions!$C$5</f>
        <v>67.3846153846154</v>
      </c>
      <c r="I23" s="86" t="n">
        <f aca="false">I22/Assumptions!$C$5</f>
        <v>67.3846153846154</v>
      </c>
      <c r="J23" s="86" t="n">
        <f aca="false">J22/Assumptions!$C$5</f>
        <v>67.3846153846154</v>
      </c>
      <c r="K23" s="86" t="n">
        <f aca="false">K22/Assumptions!$C$5</f>
        <v>67.3846153846154</v>
      </c>
      <c r="L23" s="86" t="n">
        <f aca="false">L22/Assumptions!$C$5</f>
        <v>67.3846153846154</v>
      </c>
      <c r="N23" s="14" t="s">
        <v>955</v>
      </c>
    </row>
    <row r="25" customFormat="false" ht="15" hidden="false" customHeight="false" outlineLevel="0" collapsed="false">
      <c r="A25" s="8" t="s">
        <v>956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customFormat="false" ht="15" hidden="false" customHeight="false" outlineLevel="0" collapsed="false">
      <c r="A26" s="7" t="s">
        <v>957</v>
      </c>
      <c r="B26" s="14" t="s">
        <v>162</v>
      </c>
      <c r="C26" s="89" t="n">
        <f aca="false">'Revenue Build'!C$43/Manpower!C$14</f>
        <v>12.8226445276596</v>
      </c>
      <c r="D26" s="89" t="n">
        <f aca="false">'Revenue Build'!D$43/Manpower!D$14</f>
        <v>18.7956084007353</v>
      </c>
      <c r="E26" s="89" t="n">
        <f aca="false">'Revenue Build'!E$43/Manpower!E$14</f>
        <v>24.6742431428681</v>
      </c>
      <c r="F26" s="89" t="n">
        <f aca="false">'Revenue Build'!F$43/Manpower!F$14</f>
        <v>29.40475334282</v>
      </c>
      <c r="G26" s="89" t="n">
        <f aca="false">'Revenue Build'!G$43/Manpower!G$14</f>
        <v>33.784656104437</v>
      </c>
      <c r="H26" s="89" t="n">
        <f aca="false">'Revenue Build'!H$43/Manpower!H$14</f>
        <v>37.6118108304888</v>
      </c>
      <c r="I26" s="89" t="n">
        <f aca="false">'Revenue Build'!I$43/Manpower!I$14</f>
        <v>40.7855678391943</v>
      </c>
      <c r="J26" s="89" t="n">
        <f aca="false">'Revenue Build'!J$43/Manpower!J$14</f>
        <v>43.9858564205685</v>
      </c>
      <c r="K26" s="89" t="n">
        <f aca="false">'Revenue Build'!K$43/Manpower!K$14</f>
        <v>47.5211932274605</v>
      </c>
      <c r="L26" s="89" t="n">
        <f aca="false">'Revenue Build'!L$43/Manpower!L$14</f>
        <v>51.2324161348916</v>
      </c>
    </row>
    <row r="27" customFormat="false" ht="15" hidden="false" customHeight="false" outlineLevel="0" collapsed="false">
      <c r="A27" s="7" t="s">
        <v>958</v>
      </c>
      <c r="B27" s="14" t="s">
        <v>132</v>
      </c>
      <c r="C27" s="90" t="n">
        <f aca="false">'Revenue Build'!C$43/'Balance Sheet'!C$34</f>
        <v>0.262443740144071</v>
      </c>
      <c r="D27" s="90" t="n">
        <f aca="false">'Revenue Build'!D$43/'Balance Sheet'!D$34</f>
        <v>0.471549780927453</v>
      </c>
      <c r="E27" s="90" t="n">
        <f aca="false">'Revenue Build'!E$43/'Balance Sheet'!E$34</f>
        <v>0.65537318208478</v>
      </c>
      <c r="F27" s="90" t="n">
        <f aca="false">'Revenue Build'!F$43/'Balance Sheet'!F$34</f>
        <v>0.794249948318861</v>
      </c>
      <c r="G27" s="90" t="n">
        <f aca="false">'Revenue Build'!G$43/'Balance Sheet'!G$34</f>
        <v>0.90369488810434</v>
      </c>
      <c r="H27" s="90" t="n">
        <f aca="false">'Revenue Build'!H$43/'Balance Sheet'!H$34</f>
        <v>0.951853906223792</v>
      </c>
      <c r="I27" s="90" t="n">
        <f aca="false">'Revenue Build'!I$43/'Balance Sheet'!I$34</f>
        <v>0.998087107055773</v>
      </c>
      <c r="J27" s="90" t="n">
        <f aca="false">'Revenue Build'!J$43/'Balance Sheet'!J$34</f>
        <v>1.03065499046678</v>
      </c>
      <c r="K27" s="90" t="n">
        <f aca="false">'Revenue Build'!K$43/'Balance Sheet'!K$34</f>
        <v>1.05266809041482</v>
      </c>
      <c r="L27" s="90" t="n">
        <f aca="false">'Revenue Build'!L$43/'Balance Sheet'!L$34</f>
        <v>1.05510487762937</v>
      </c>
      <c r="N27" s="14" t="s">
        <v>959</v>
      </c>
    </row>
    <row r="28" customFormat="false" ht="15" hidden="false" customHeight="false" outlineLevel="0" collapsed="false">
      <c r="A28" s="7" t="s">
        <v>960</v>
      </c>
      <c r="B28" s="14" t="s">
        <v>132</v>
      </c>
      <c r="C28" s="90" t="n">
        <f aca="false">'Revenue Build'!C$43/'Capex &amp; Funding'!$C$72</f>
        <v>0.280896682911613</v>
      </c>
      <c r="D28" s="90" t="n">
        <f aca="false">'Revenue Build'!D$43/'Capex &amp; Funding'!$C$72</f>
        <v>0.476569712057656</v>
      </c>
      <c r="E28" s="90" t="n">
        <f aca="false">'Revenue Build'!E$43/'Capex &amp; Funding'!$C$72</f>
        <v>0.67162652090623</v>
      </c>
      <c r="F28" s="90" t="n">
        <f aca="false">'Revenue Build'!F$43/'Capex &amp; Funding'!$C$72</f>
        <v>0.827800394980146</v>
      </c>
      <c r="G28" s="90" t="n">
        <f aca="false">'Revenue Build'!G$43/'Capex &amp; Funding'!$C$72</f>
        <v>0.973148522467495</v>
      </c>
      <c r="H28" s="90" t="n">
        <f aca="false">'Revenue Build'!H$43/'Capex &amp; Funding'!$C$72</f>
        <v>1.0833876190384</v>
      </c>
      <c r="I28" s="90" t="n">
        <f aca="false">'Revenue Build'!I$43/'Capex &amp; Funding'!$C$72</f>
        <v>1.17480595208714</v>
      </c>
      <c r="J28" s="90" t="n">
        <f aca="false">'Revenue Build'!J$43/'Capex &amp; Funding'!$C$72</f>
        <v>1.26698851256094</v>
      </c>
      <c r="K28" s="90" t="n">
        <f aca="false">'Revenue Build'!K$43/'Capex &amp; Funding'!$C$72</f>
        <v>1.36882195373663</v>
      </c>
      <c r="L28" s="90" t="n">
        <f aca="false">'Revenue Build'!L$43/'Capex &amp; Funding'!$C$72</f>
        <v>1.47572169774319</v>
      </c>
    </row>
    <row r="29" customFormat="false" ht="15" hidden="false" customHeight="false" outlineLevel="0" collapsed="false">
      <c r="A29" s="6" t="s">
        <v>961</v>
      </c>
      <c r="B29" s="14" t="s">
        <v>129</v>
      </c>
      <c r="C29" s="55" t="n">
        <f aca="false">IFERROR('P&amp;L'!C$24/('Balance Sheet'!C$10+'Balance Sheet'!C$13+'Balance Sheet'!C$16),0)</f>
        <v>-0.0891083150724224</v>
      </c>
      <c r="D29" s="55" t="n">
        <f aca="false">IFERROR('P&amp;L'!D$24/('Balance Sheet'!D$10+'Balance Sheet'!D$13+'Balance Sheet'!D$16),0)</f>
        <v>-0.00924363920498618</v>
      </c>
      <c r="E29" s="55" t="n">
        <f aca="false">IFERROR('P&amp;L'!E$24/('Balance Sheet'!E$10+'Balance Sheet'!E$13+'Balance Sheet'!E$16),0)</f>
        <v>0.0725090303368269</v>
      </c>
      <c r="F29" s="55" t="n">
        <f aca="false">IFERROR('P&amp;L'!F$24/('Balance Sheet'!F$10+'Balance Sheet'!F$13+'Balance Sheet'!F$16),0)</f>
        <v>0.130010195322582</v>
      </c>
      <c r="G29" s="55" t="n">
        <f aca="false">IFERROR('P&amp;L'!G$24/('Balance Sheet'!G$10+'Balance Sheet'!G$13+'Balance Sheet'!G$16),0)</f>
        <v>0.167505974388749</v>
      </c>
      <c r="H29" s="55" t="n">
        <f aca="false">IFERROR('P&amp;L'!H$24/('Balance Sheet'!H$10+'Balance Sheet'!H$13+'Balance Sheet'!H$16),0)</f>
        <v>0.204424515997826</v>
      </c>
      <c r="I29" s="55" t="n">
        <f aca="false">IFERROR('P&amp;L'!I$24/('Balance Sheet'!I$10+'Balance Sheet'!I$13+'Balance Sheet'!I$16),0)</f>
        <v>0.225863664151063</v>
      </c>
      <c r="J29" s="55" t="n">
        <f aca="false">IFERROR('P&amp;L'!J$24/('Balance Sheet'!J$10+'Balance Sheet'!J$13+'Balance Sheet'!J$16),0)</f>
        <v>0.238806146922229</v>
      </c>
      <c r="K29" s="55" t="n">
        <f aca="false">IFERROR('P&amp;L'!K$24/('Balance Sheet'!K$10+'Balance Sheet'!K$13+'Balance Sheet'!K$16),0)</f>
        <v>0.250950305421134</v>
      </c>
      <c r="L29" s="55" t="n">
        <f aca="false">IFERROR('P&amp;L'!L$24/('Balance Sheet'!L$10+'Balance Sheet'!L$13+'Balance Sheet'!L$16),0)</f>
        <v>0.257150765104352</v>
      </c>
    </row>
    <row r="30" customFormat="false" ht="15" hidden="false" customHeight="false" outlineLevel="0" collapsed="false">
      <c r="A30" s="6" t="s">
        <v>962</v>
      </c>
      <c r="B30" s="14" t="s">
        <v>129</v>
      </c>
      <c r="C30" s="55" t="n">
        <f aca="false">IFERROR('P&amp;L'!C$38/'Balance Sheet'!C$10,0)</f>
        <v>-0.592597624779075</v>
      </c>
      <c r="D30" s="55" t="n">
        <f aca="false">IFERROR('P&amp;L'!D$38/'Balance Sheet'!D$10,0)</f>
        <v>-0.454989716051706</v>
      </c>
      <c r="E30" s="55" t="n">
        <f aca="false">IFERROR('P&amp;L'!E$38/'Balance Sheet'!E$10,0)</f>
        <v>-0.0752828992188248</v>
      </c>
      <c r="F30" s="55" t="n">
        <f aca="false">IFERROR('P&amp;L'!F$38/'Balance Sheet'!F$10,0)</f>
        <v>0.189932039111649</v>
      </c>
      <c r="G30" s="55" t="n">
        <f aca="false">IFERROR('P&amp;L'!G$38/'Balance Sheet'!G$10,0)</f>
        <v>0.279486346917668</v>
      </c>
      <c r="H30" s="55" t="n">
        <f aca="false">IFERROR('P&amp;L'!H$38/'Balance Sheet'!H$10,0)</f>
        <v>0.312534019304157</v>
      </c>
      <c r="I30" s="55" t="n">
        <f aca="false">IFERROR('P&amp;L'!I$38/'Balance Sheet'!I$10,0)</f>
        <v>0.229923419698544</v>
      </c>
      <c r="J30" s="55" t="n">
        <f aca="false">IFERROR('P&amp;L'!J$38/'Balance Sheet'!J$10,0)</f>
        <v>0.216034164972576</v>
      </c>
      <c r="K30" s="55" t="n">
        <f aca="false">IFERROR('P&amp;L'!K$38/'Balance Sheet'!K$10,0)</f>
        <v>0.205021416024374</v>
      </c>
      <c r="L30" s="55" t="n">
        <f aca="false">IFERROR('P&amp;L'!L$38/'Balance Sheet'!L$10,0)</f>
        <v>0.193525275520348</v>
      </c>
    </row>
    <row r="31" customFormat="false" ht="15" hidden="false" customHeight="false" outlineLevel="0" collapsed="false">
      <c r="A31" s="7" t="s">
        <v>963</v>
      </c>
      <c r="B31" s="14" t="s">
        <v>129</v>
      </c>
      <c r="C31" s="87" t="n">
        <f aca="false">IFERROR('P&amp;L'!C$38/'Balance Sheet'!C$34,0)</f>
        <v>-0.162870343334962</v>
      </c>
      <c r="D31" s="87" t="n">
        <f aca="false">IFERROR('P&amp;L'!D$38/'Balance Sheet'!D$34,0)</f>
        <v>-0.091019671626932</v>
      </c>
      <c r="E31" s="87" t="n">
        <f aca="false">IFERROR('P&amp;L'!E$38/'Balance Sheet'!E$34,0)</f>
        <v>-0.013812331718559</v>
      </c>
      <c r="F31" s="87" t="n">
        <f aca="false">IFERROR('P&amp;L'!F$38/'Balance Sheet'!F$34,0)</f>
        <v>0.0422978386443685</v>
      </c>
      <c r="G31" s="87" t="n">
        <f aca="false">IFERROR('P&amp;L'!G$38/'Balance Sheet'!G$34,0)</f>
        <v>0.0836083128594453</v>
      </c>
      <c r="H31" s="87" t="n">
        <f aca="false">IFERROR('P&amp;L'!H$38/'Balance Sheet'!H$34,0)</f>
        <v>0.128670408042581</v>
      </c>
      <c r="I31" s="87" t="n">
        <f aca="false">IFERROR('P&amp;L'!I$38/'Balance Sheet'!I$34,0)</f>
        <v>0.11886296365769</v>
      </c>
      <c r="J31" s="87" t="n">
        <f aca="false">IFERROR('P&amp;L'!J$38/'Balance Sheet'!J$34,0)</f>
        <v>0.136403957908503</v>
      </c>
      <c r="K31" s="87" t="n">
        <f aca="false">IFERROR('P&amp;L'!K$38/'Balance Sheet'!K$34,0)</f>
        <v>0.153940253019637</v>
      </c>
      <c r="L31" s="87" t="n">
        <f aca="false">IFERROR('P&amp;L'!L$38/'Balance Sheet'!L$34,0)</f>
        <v>0.167512250160987</v>
      </c>
    </row>
    <row r="33" customFormat="false" ht="15" hidden="false" customHeight="false" outlineLevel="0" collapsed="false">
      <c r="A33" s="8" t="s">
        <v>964</v>
      </c>
      <c r="B33" s="9"/>
      <c r="C33" s="8" t="s">
        <v>965</v>
      </c>
      <c r="D33" s="8" t="s">
        <v>966</v>
      </c>
      <c r="E33" s="8" t="s">
        <v>174</v>
      </c>
      <c r="F33" s="9"/>
      <c r="G33" s="9"/>
      <c r="H33" s="9"/>
      <c r="I33" s="9"/>
      <c r="J33" s="9"/>
      <c r="K33" s="9"/>
      <c r="L33" s="9"/>
      <c r="M33" s="9"/>
      <c r="N33" s="9"/>
      <c r="O33" s="9"/>
    </row>
    <row r="34" customFormat="false" ht="15" hidden="false" customHeight="false" outlineLevel="0" collapsed="false">
      <c r="A34" s="7" t="s">
        <v>967</v>
      </c>
      <c r="C34" s="47" t="n">
        <f aca="false">'Control Panel'!$E$41</f>
        <v>0.4</v>
      </c>
      <c r="D34" s="47" t="n">
        <f aca="false">'Control Panel'!$F$41</f>
        <v>1</v>
      </c>
      <c r="E34" s="60" t="n">
        <f aca="false">'Control Panel'!$G$41</f>
        <v>3</v>
      </c>
    </row>
    <row r="35" customFormat="false" ht="15" hidden="false" customHeight="false" outlineLevel="0" collapsed="false">
      <c r="A35" s="7" t="s">
        <v>968</v>
      </c>
      <c r="C35" s="47" t="n">
        <f aca="false">'Control Panel'!$E$42</f>
        <v>0.35</v>
      </c>
      <c r="D35" s="47" t="n">
        <f aca="false">'Control Panel'!$F$42</f>
        <v>0.94</v>
      </c>
      <c r="E35" s="60" t="n">
        <f aca="false">'Control Panel'!$G$42</f>
        <v>55</v>
      </c>
    </row>
    <row r="36" customFormat="false" ht="15" hidden="false" customHeight="false" outlineLevel="0" collapsed="false">
      <c r="A36" s="7" t="s">
        <v>969</v>
      </c>
      <c r="C36" s="47" t="n">
        <f aca="false">'Control Panel'!$E$43</f>
        <v>0.25</v>
      </c>
      <c r="D36" s="47" t="n">
        <f aca="false">'Control Panel'!$F$43</f>
        <v>0.72</v>
      </c>
      <c r="E36" s="60" t="n">
        <f aca="false">'Control Panel'!$G$43</f>
        <v>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O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5"/>
    <col collapsed="false" customWidth="true" hidden="false" outlineLevel="0" max="16" min="3" style="0" width="13"/>
  </cols>
  <sheetData>
    <row r="1" customFormat="false" ht="24" hidden="false" customHeight="true" outlineLevel="0" collapsed="false">
      <c r="A1" s="15" t="s">
        <v>970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" hidden="false" customHeight="false" outlineLevel="0" collapsed="false">
      <c r="A2" s="16" t="s">
        <v>971</v>
      </c>
    </row>
    <row r="4" customFormat="false" ht="15" hidden="false" customHeight="false" outlineLevel="0" collapsed="false">
      <c r="A4" s="50" t="s">
        <v>972</v>
      </c>
      <c r="B4" s="50" t="s">
        <v>122</v>
      </c>
      <c r="C4" s="51" t="s">
        <v>241</v>
      </c>
      <c r="D4" s="51" t="s">
        <v>242</v>
      </c>
      <c r="E4" s="51" t="s">
        <v>243</v>
      </c>
      <c r="F4" s="51" t="s">
        <v>244</v>
      </c>
      <c r="G4" s="51" t="s">
        <v>245</v>
      </c>
      <c r="H4" s="51" t="s">
        <v>246</v>
      </c>
      <c r="I4" s="51" t="s">
        <v>247</v>
      </c>
      <c r="J4" s="51" t="s">
        <v>248</v>
      </c>
      <c r="K4" s="51" t="s">
        <v>249</v>
      </c>
      <c r="L4" s="51" t="s">
        <v>250</v>
      </c>
    </row>
    <row r="5" customFormat="false" ht="15" hidden="false" customHeight="false" outlineLevel="0" collapsed="false">
      <c r="A5" s="52" t="s">
        <v>251</v>
      </c>
      <c r="B5" s="9"/>
      <c r="C5" s="53" t="s">
        <v>252</v>
      </c>
      <c r="D5" s="53" t="s">
        <v>253</v>
      </c>
      <c r="E5" s="53" t="s">
        <v>254</v>
      </c>
      <c r="F5" s="53" t="s">
        <v>255</v>
      </c>
      <c r="G5" s="53" t="s">
        <v>256</v>
      </c>
      <c r="H5" s="53" t="s">
        <v>257</v>
      </c>
      <c r="I5" s="53" t="s">
        <v>258</v>
      </c>
      <c r="J5" s="53" t="s">
        <v>259</v>
      </c>
      <c r="K5" s="53" t="s">
        <v>260</v>
      </c>
      <c r="L5" s="53" t="s">
        <v>261</v>
      </c>
    </row>
    <row r="6" customFormat="false" ht="15" hidden="false" customHeight="false" outlineLevel="0" collapsed="false">
      <c r="A6" s="8" t="s">
        <v>973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customFormat="false" ht="15" hidden="false" customHeight="false" outlineLevel="0" collapsed="false">
      <c r="A7" s="7" t="s">
        <v>974</v>
      </c>
      <c r="B7" s="14" t="s">
        <v>129</v>
      </c>
      <c r="C7" s="82" t="n">
        <f aca="false">'Revenue Build'!C$44</f>
        <v>0</v>
      </c>
      <c r="D7" s="82" t="n">
        <f aca="false">'Revenue Build'!D$44</f>
        <v>0.696601423405253</v>
      </c>
      <c r="E7" s="82" t="n">
        <f aca="false">'Revenue Build'!E$44</f>
        <v>0.409293339281655</v>
      </c>
      <c r="F7" s="82" t="n">
        <f aca="false">'Revenue Build'!F$44</f>
        <v>0.23253083255734</v>
      </c>
      <c r="G7" s="82" t="n">
        <f aca="false">'Revenue Build'!G$44</f>
        <v>0.175583544497868</v>
      </c>
      <c r="H7" s="82" t="n">
        <f aca="false">'Revenue Build'!H$44</f>
        <v>0.113280854901143</v>
      </c>
      <c r="I7" s="82" t="n">
        <f aca="false">'Revenue Build'!I$44</f>
        <v>0.0843819252151723</v>
      </c>
      <c r="J7" s="82" t="n">
        <f aca="false">'Revenue Build'!J$44</f>
        <v>0.078466201426741</v>
      </c>
      <c r="K7" s="82" t="n">
        <f aca="false">'Revenue Build'!K$44</f>
        <v>0.0803743997408863</v>
      </c>
      <c r="L7" s="82" t="n">
        <f aca="false">'Revenue Build'!L$44</f>
        <v>0.0780961641612679</v>
      </c>
    </row>
    <row r="8" customFormat="false" ht="15" hidden="false" customHeight="false" outlineLevel="0" collapsed="false">
      <c r="A8" s="7" t="s">
        <v>975</v>
      </c>
      <c r="B8" s="14" t="s">
        <v>129</v>
      </c>
      <c r="C8" s="87" t="n">
        <f aca="false">0</f>
        <v>0</v>
      </c>
      <c r="D8" s="87" t="n">
        <f aca="false">IFERROR('P&amp;L'!D$20/'P&amp;L'!C$20-1,0)</f>
        <v>-2.33960903571696</v>
      </c>
      <c r="E8" s="87" t="n">
        <f aca="false">IFERROR('P&amp;L'!E$20/'P&amp;L'!D$20-1,0)</f>
        <v>1.72292343043436</v>
      </c>
      <c r="F8" s="87" t="n">
        <f aca="false">IFERROR('P&amp;L'!F$20/'P&amp;L'!E$20-1,0)</f>
        <v>0.439464511785225</v>
      </c>
      <c r="G8" s="87" t="n">
        <f aca="false">IFERROR('P&amp;L'!G$20/'P&amp;L'!F$20-1,0)</f>
        <v>0.22141426879531</v>
      </c>
      <c r="H8" s="87" t="n">
        <f aca="false">IFERROR('P&amp;L'!H$20/'P&amp;L'!G$20-1,0)</f>
        <v>0.177819454446991</v>
      </c>
      <c r="I8" s="87" t="n">
        <f aca="false">IFERROR('P&amp;L'!I$20/'P&amp;L'!H$20-1,0)</f>
        <v>0.105055955587723</v>
      </c>
      <c r="J8" s="87" t="n">
        <f aca="false">IFERROR('P&amp;L'!J$20/'P&amp;L'!I$20-1,0)</f>
        <v>0.0899145468047049</v>
      </c>
      <c r="K8" s="87" t="n">
        <f aca="false">IFERROR('P&amp;L'!K$20/'P&amp;L'!J$20-1,0)</f>
        <v>0.0975608874620197</v>
      </c>
      <c r="L8" s="87" t="n">
        <f aca="false">IFERROR('P&amp;L'!L$20/'P&amp;L'!K$20-1,0)</f>
        <v>0.0922516668728457</v>
      </c>
    </row>
    <row r="9" customFormat="false" ht="15" hidden="false" customHeight="false" outlineLevel="0" collapsed="false">
      <c r="A9" s="7" t="s">
        <v>976</v>
      </c>
      <c r="B9" s="14" t="s">
        <v>129</v>
      </c>
      <c r="C9" s="87" t="n">
        <f aca="false">0</f>
        <v>0</v>
      </c>
      <c r="D9" s="87" t="n">
        <f aca="false">'Revenue Build'!D$9/'Revenue Build'!C$9-1</f>
        <v>0.578947368421053</v>
      </c>
      <c r="E9" s="87" t="n">
        <f aca="false">'Revenue Build'!E$9/'Revenue Build'!D$9-1</f>
        <v>0.3</v>
      </c>
      <c r="F9" s="87" t="n">
        <f aca="false">'Revenue Build'!F$9/'Revenue Build'!E$9-1</f>
        <v>0.141025641025641</v>
      </c>
      <c r="G9" s="87" t="n">
        <f aca="false">'Revenue Build'!G$9/'Revenue Build'!F$9-1</f>
        <v>0.089887640449438</v>
      </c>
      <c r="H9" s="87" t="n">
        <f aca="false">'Revenue Build'!H$9/'Revenue Build'!G$9-1</f>
        <v>0.0309278350515465</v>
      </c>
      <c r="I9" s="87" t="n">
        <f aca="false">'Revenue Build'!I$9/'Revenue Build'!H$9-1</f>
        <v>0</v>
      </c>
      <c r="J9" s="87" t="n">
        <f aca="false">'Revenue Build'!J$9/'Revenue Build'!I$9-1</f>
        <v>0</v>
      </c>
      <c r="K9" s="87" t="n">
        <f aca="false">'Revenue Build'!K$9/'Revenue Build'!J$9-1</f>
        <v>0</v>
      </c>
      <c r="L9" s="87" t="n">
        <f aca="false">'Revenue Build'!L$9/'Revenue Build'!K$9-1</f>
        <v>0</v>
      </c>
    </row>
    <row r="11" customFormat="false" ht="15" hidden="false" customHeight="false" outlineLevel="0" collapsed="false">
      <c r="A11" s="8" t="s">
        <v>977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customFormat="false" ht="15" hidden="false" customHeight="false" outlineLevel="0" collapsed="false">
      <c r="A12" s="7" t="s">
        <v>978</v>
      </c>
      <c r="B12" s="14" t="s">
        <v>129</v>
      </c>
      <c r="C12" s="82" t="n">
        <f aca="false">'Break-even'!C$9</f>
        <v>0.672858643016655</v>
      </c>
      <c r="D12" s="82" t="n">
        <f aca="false">'Break-even'!D$9</f>
        <v>0.672822250236671</v>
      </c>
      <c r="E12" s="82" t="n">
        <f aca="false">'Break-even'!E$9</f>
        <v>0.67323851099476</v>
      </c>
      <c r="F12" s="82" t="n">
        <f aca="false">'Break-even'!F$9</f>
        <v>0.673499534579304</v>
      </c>
      <c r="G12" s="82" t="n">
        <f aca="false">'Break-even'!G$9</f>
        <v>0.673735111127774</v>
      </c>
      <c r="H12" s="82" t="n">
        <f aca="false">'Break-even'!H$9</f>
        <v>0.673950283182124</v>
      </c>
      <c r="I12" s="82" t="n">
        <f aca="false">'Break-even'!I$9</f>
        <v>0.674445554334677</v>
      </c>
      <c r="J12" s="82" t="n">
        <f aca="false">'Break-even'!J$9</f>
        <v>0.674584739447605</v>
      </c>
      <c r="K12" s="82" t="n">
        <f aca="false">'Break-even'!K$9</f>
        <v>0.674898945405515</v>
      </c>
      <c r="L12" s="82" t="n">
        <f aca="false">'Break-even'!L$9</f>
        <v>0.675018557782081</v>
      </c>
    </row>
    <row r="13" customFormat="false" ht="15" hidden="false" customHeight="false" outlineLevel="0" collapsed="false">
      <c r="A13" s="7" t="s">
        <v>979</v>
      </c>
      <c r="B13" s="14" t="s">
        <v>129</v>
      </c>
      <c r="C13" s="82" t="n">
        <f aca="false">'P&amp;L'!C$21</f>
        <v>-0.128217521222289</v>
      </c>
      <c r="D13" s="82" t="n">
        <f aca="false">'P&amp;L'!D$21</f>
        <v>0.101238480409775</v>
      </c>
      <c r="E13" s="82" t="n">
        <f aca="false">'P&amp;L'!E$21</f>
        <v>0.195604862866846</v>
      </c>
      <c r="F13" s="82" t="n">
        <f aca="false">'P&amp;L'!F$21</f>
        <v>0.228445610439803</v>
      </c>
      <c r="G13" s="82" t="n">
        <f aca="false">'P&amp;L'!G$21</f>
        <v>0.237351679122059</v>
      </c>
      <c r="H13" s="82" t="n">
        <f aca="false">'P&amp;L'!H$21</f>
        <v>0.25111132018923</v>
      </c>
      <c r="I13" s="82" t="n">
        <f aca="false">'P&amp;L'!I$21</f>
        <v>0.255898824425298</v>
      </c>
      <c r="J13" s="82" t="n">
        <f aca="false">'P&amp;L'!J$21</f>
        <v>0.258615291682185</v>
      </c>
      <c r="K13" s="82" t="n">
        <f aca="false">'P&amp;L'!K$21</f>
        <v>0.262729317834656</v>
      </c>
      <c r="L13" s="82" t="n">
        <f aca="false">'P&amp;L'!L$21</f>
        <v>0.266178978166128</v>
      </c>
    </row>
    <row r="14" customFormat="false" ht="15" hidden="false" customHeight="false" outlineLevel="0" collapsed="false">
      <c r="A14" s="7" t="s">
        <v>980</v>
      </c>
      <c r="B14" s="14" t="s">
        <v>129</v>
      </c>
      <c r="C14" s="82" t="n">
        <f aca="false">'P&amp;L'!C$25</f>
        <v>-0.331937392686582</v>
      </c>
      <c r="D14" s="82" t="n">
        <f aca="false">'P&amp;L'!D$25</f>
        <v>-0.0188367880969589</v>
      </c>
      <c r="E14" s="82" t="n">
        <f aca="false">'P&amp;L'!E$25</f>
        <v>0.10467710939115</v>
      </c>
      <c r="F14" s="82" t="n">
        <f aca="false">'P&amp;L'!F$25</f>
        <v>0.153049724981195</v>
      </c>
      <c r="G14" s="82" t="n">
        <f aca="false">'P&amp;L'!G$25</f>
        <v>0.171515536875217</v>
      </c>
      <c r="H14" s="82" t="n">
        <f aca="false">'P&amp;L'!H$25</f>
        <v>0.197921682222711</v>
      </c>
      <c r="I14" s="82" t="n">
        <f aca="false">'P&amp;L'!I$25</f>
        <v>0.207714954172585</v>
      </c>
      <c r="J14" s="82" t="n">
        <f aca="false">'P&amp;L'!J$25</f>
        <v>0.212082660259594</v>
      </c>
      <c r="K14" s="82" t="n">
        <f aca="false">'P&amp;L'!K$25</f>
        <v>0.217807269113184</v>
      </c>
      <c r="L14" s="82" t="n">
        <f aca="false">'P&amp;L'!L$25</f>
        <v>0.222655913822442</v>
      </c>
    </row>
    <row r="15" customFormat="false" ht="15" hidden="false" customHeight="false" outlineLevel="0" collapsed="false">
      <c r="A15" s="7" t="s">
        <v>981</v>
      </c>
      <c r="B15" s="14" t="s">
        <v>129</v>
      </c>
      <c r="C15" s="82" t="n">
        <f aca="false">IFERROR('P&amp;L'!C$28/'P&amp;L'!C$6,0)</f>
        <v>-0.620591457984682</v>
      </c>
      <c r="D15" s="82" t="n">
        <f aca="false">IFERROR('P&amp;L'!D$28/'P&amp;L'!D$6,0)</f>
        <v>-0.193022402529618</v>
      </c>
      <c r="E15" s="82" t="n">
        <f aca="false">IFERROR('P&amp;L'!E$28/'P&amp;L'!E$6,0)</f>
        <v>-0.0210755216968464</v>
      </c>
      <c r="F15" s="82" t="n">
        <f aca="false">IFERROR('P&amp;L'!F$28/'P&amp;L'!F$6,0)</f>
        <v>0.0532550725799828</v>
      </c>
      <c r="G15" s="82" t="n">
        <f aca="false">IFERROR('P&amp;L'!G$28/'P&amp;L'!G$6,0)</f>
        <v>0.0925182978901524</v>
      </c>
      <c r="H15" s="82" t="n">
        <f aca="false">IFERROR('P&amp;L'!H$28/'P&amp;L'!H$6,0)</f>
        <v>0.135211019415998</v>
      </c>
      <c r="I15" s="82" t="n">
        <f aca="false">IFERROR('P&amp;L'!I$28/'P&amp;L'!I$6,0)</f>
        <v>0.159144178365297</v>
      </c>
      <c r="J15" s="82" t="n">
        <f aca="false">IFERROR('P&amp;L'!J$28/'P&amp;L'!J$6,0)</f>
        <v>0.176858651369967</v>
      </c>
      <c r="K15" s="82" t="n">
        <f aca="false">IFERROR('P&amp;L'!K$28/'P&amp;L'!K$6,0)</f>
        <v>0.195421969167002</v>
      </c>
      <c r="L15" s="82" t="n">
        <f aca="false">IFERROR('P&amp;L'!L$28/'P&amp;L'!L$6,0)</f>
        <v>0.212160040273275</v>
      </c>
    </row>
    <row r="16" customFormat="false" ht="15" hidden="false" customHeight="false" outlineLevel="0" collapsed="false">
      <c r="A16" s="7" t="s">
        <v>982</v>
      </c>
      <c r="B16" s="14" t="s">
        <v>129</v>
      </c>
      <c r="C16" s="82" t="n">
        <f aca="false">'P&amp;L'!C$39</f>
        <v>-0.620591457984682</v>
      </c>
      <c r="D16" s="82" t="n">
        <f aca="false">'P&amp;L'!D$39</f>
        <v>-0.193022402529618</v>
      </c>
      <c r="E16" s="82" t="n">
        <f aca="false">'P&amp;L'!E$39</f>
        <v>-0.0210755216968464</v>
      </c>
      <c r="F16" s="82" t="n">
        <f aca="false">'P&amp;L'!F$39</f>
        <v>0.0532550725799828</v>
      </c>
      <c r="G16" s="82" t="n">
        <f aca="false">'P&amp;L'!G$39</f>
        <v>0.0925182978901524</v>
      </c>
      <c r="H16" s="82" t="n">
        <f aca="false">'P&amp;L'!H$39</f>
        <v>0.135178736149798</v>
      </c>
      <c r="I16" s="82" t="n">
        <f aca="false">'P&amp;L'!I$39</f>
        <v>0.119090771554319</v>
      </c>
      <c r="J16" s="82" t="n">
        <f aca="false">'P&amp;L'!J$39</f>
        <v>0.132346865993174</v>
      </c>
      <c r="K16" s="82" t="n">
        <f aca="false">'P&amp;L'!K$39</f>
        <v>0.146238167967051</v>
      </c>
      <c r="L16" s="82" t="n">
        <f aca="false">'P&amp;L'!L$39</f>
        <v>0.158763601337297</v>
      </c>
    </row>
    <row r="17" customFormat="false" ht="15" hidden="false" customHeight="false" outlineLevel="0" collapsed="false">
      <c r="A17" s="7" t="s">
        <v>983</v>
      </c>
      <c r="B17" s="14" t="s">
        <v>129</v>
      </c>
      <c r="C17" s="82" t="n">
        <f aca="false">'Unit Economics'!C$30</f>
        <v>-0.592597624779075</v>
      </c>
      <c r="D17" s="82" t="n">
        <f aca="false">'Unit Economics'!D$30</f>
        <v>-0.454989716051706</v>
      </c>
      <c r="E17" s="82" t="n">
        <f aca="false">'Unit Economics'!E$30</f>
        <v>-0.0752828992188248</v>
      </c>
      <c r="F17" s="82" t="n">
        <f aca="false">'Unit Economics'!F$30</f>
        <v>0.189932039111649</v>
      </c>
      <c r="G17" s="82" t="n">
        <f aca="false">'Unit Economics'!G$30</f>
        <v>0.279486346917668</v>
      </c>
      <c r="H17" s="82" t="n">
        <f aca="false">'Unit Economics'!H$30</f>
        <v>0.312534019304157</v>
      </c>
      <c r="I17" s="82" t="n">
        <f aca="false">'Unit Economics'!I$30</f>
        <v>0.229923419698544</v>
      </c>
      <c r="J17" s="82" t="n">
        <f aca="false">'Unit Economics'!J$30</f>
        <v>0.216034164972576</v>
      </c>
      <c r="K17" s="82" t="n">
        <f aca="false">'Unit Economics'!K$30</f>
        <v>0.205021416024374</v>
      </c>
      <c r="L17" s="82" t="n">
        <f aca="false">'Unit Economics'!L$30</f>
        <v>0.193525275520348</v>
      </c>
    </row>
    <row r="18" customFormat="false" ht="15" hidden="false" customHeight="false" outlineLevel="0" collapsed="false">
      <c r="A18" s="7" t="s">
        <v>984</v>
      </c>
      <c r="B18" s="14" t="s">
        <v>129</v>
      </c>
      <c r="C18" s="82" t="n">
        <f aca="false">'Unit Economics'!C$29</f>
        <v>-0.0891083150724224</v>
      </c>
      <c r="D18" s="82" t="n">
        <f aca="false">'Unit Economics'!D$29</f>
        <v>-0.00924363920498618</v>
      </c>
      <c r="E18" s="82" t="n">
        <f aca="false">'Unit Economics'!E$29</f>
        <v>0.0725090303368269</v>
      </c>
      <c r="F18" s="82" t="n">
        <f aca="false">'Unit Economics'!F$29</f>
        <v>0.130010195322582</v>
      </c>
      <c r="G18" s="82" t="n">
        <f aca="false">'Unit Economics'!G$29</f>
        <v>0.167505974388749</v>
      </c>
      <c r="H18" s="82" t="n">
        <f aca="false">'Unit Economics'!H$29</f>
        <v>0.204424515997826</v>
      </c>
      <c r="I18" s="82" t="n">
        <f aca="false">'Unit Economics'!I$29</f>
        <v>0.225863664151063</v>
      </c>
      <c r="J18" s="82" t="n">
        <f aca="false">'Unit Economics'!J$29</f>
        <v>0.238806146922229</v>
      </c>
      <c r="K18" s="82" t="n">
        <f aca="false">'Unit Economics'!K$29</f>
        <v>0.250950305421134</v>
      </c>
      <c r="L18" s="82" t="n">
        <f aca="false">'Unit Economics'!L$29</f>
        <v>0.257150765104352</v>
      </c>
    </row>
    <row r="19" customFormat="false" ht="15" hidden="false" customHeight="false" outlineLevel="0" collapsed="false">
      <c r="A19" s="7" t="s">
        <v>985</v>
      </c>
      <c r="B19" s="14" t="s">
        <v>129</v>
      </c>
      <c r="C19" s="82" t="n">
        <f aca="false">'Unit Economics'!C$31</f>
        <v>-0.162870343334962</v>
      </c>
      <c r="D19" s="82" t="n">
        <f aca="false">'Unit Economics'!D$31</f>
        <v>-0.091019671626932</v>
      </c>
      <c r="E19" s="82" t="n">
        <f aca="false">'Unit Economics'!E$31</f>
        <v>-0.013812331718559</v>
      </c>
      <c r="F19" s="82" t="n">
        <f aca="false">'Unit Economics'!F$31</f>
        <v>0.0422978386443685</v>
      </c>
      <c r="G19" s="82" t="n">
        <f aca="false">'Unit Economics'!G$31</f>
        <v>0.0836083128594453</v>
      </c>
      <c r="H19" s="82" t="n">
        <f aca="false">'Unit Economics'!H$31</f>
        <v>0.128670408042581</v>
      </c>
      <c r="I19" s="82" t="n">
        <f aca="false">'Unit Economics'!I$31</f>
        <v>0.11886296365769</v>
      </c>
      <c r="J19" s="82" t="n">
        <f aca="false">'Unit Economics'!J$31</f>
        <v>0.136403957908503</v>
      </c>
      <c r="K19" s="82" t="n">
        <f aca="false">'Unit Economics'!K$31</f>
        <v>0.153940253019637</v>
      </c>
      <c r="L19" s="82" t="n">
        <f aca="false">'Unit Economics'!L$31</f>
        <v>0.167512250160987</v>
      </c>
    </row>
    <row r="21" customFormat="false" ht="15" hidden="false" customHeight="false" outlineLevel="0" collapsed="false">
      <c r="A21" s="8" t="s">
        <v>986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customFormat="false" ht="15" hidden="false" customHeight="false" outlineLevel="0" collapsed="false">
      <c r="A22" s="7" t="s">
        <v>987</v>
      </c>
      <c r="B22" s="14" t="s">
        <v>132</v>
      </c>
      <c r="C22" s="117" t="n">
        <f aca="false">'Balance Sheet'!C$41</f>
        <v>2.557067114385</v>
      </c>
      <c r="D22" s="117" t="n">
        <f aca="false">'Balance Sheet'!D$41</f>
        <v>3.8034992807377</v>
      </c>
      <c r="E22" s="117" t="n">
        <f aca="false">'Balance Sheet'!E$41</f>
        <v>4.15676838937444</v>
      </c>
      <c r="F22" s="117" t="n">
        <f aca="false">'Balance Sheet'!F$41</f>
        <v>3.19848293903586</v>
      </c>
      <c r="G22" s="117" t="n">
        <f aca="false">'Balance Sheet'!G$41</f>
        <v>2.09318666008832</v>
      </c>
      <c r="H22" s="117" t="n">
        <f aca="false">'Balance Sheet'!H$41</f>
        <v>1.23845985909269</v>
      </c>
      <c r="I22" s="117" t="n">
        <f aca="false">'Balance Sheet'!I$41</f>
        <v>0.775523791259544</v>
      </c>
      <c r="J22" s="117" t="n">
        <f aca="false">'Balance Sheet'!J$41</f>
        <v>0.4496676179237</v>
      </c>
      <c r="K22" s="117" t="n">
        <f aca="false">'Balance Sheet'!K$41</f>
        <v>0.216811014569881</v>
      </c>
      <c r="L22" s="117" t="n">
        <f aca="false">'Balance Sheet'!L$41</f>
        <v>0.0554390694384941</v>
      </c>
    </row>
    <row r="23" customFormat="false" ht="15" hidden="false" customHeight="false" outlineLevel="0" collapsed="false">
      <c r="A23" s="7" t="s">
        <v>803</v>
      </c>
      <c r="B23" s="14" t="s">
        <v>132</v>
      </c>
      <c r="C23" s="117" t="n">
        <f aca="false">'Balance Sheet'!C$45</f>
        <v>2.63846242750486</v>
      </c>
      <c r="D23" s="117" t="n">
        <f aca="false">'Balance Sheet'!D$45</f>
        <v>3.9988063889815</v>
      </c>
      <c r="E23" s="117" t="n">
        <f aca="false">'Balance Sheet'!E$45</f>
        <v>4.45041204865291</v>
      </c>
      <c r="F23" s="117" t="n">
        <f aca="false">'Balance Sheet'!F$45</f>
        <v>3.49034856623665</v>
      </c>
      <c r="G23" s="117" t="n">
        <f aca="false">'Balance Sheet'!G$45</f>
        <v>2.34280572540096</v>
      </c>
      <c r="H23" s="117" t="n">
        <f aca="false">'Balance Sheet'!H$45</f>
        <v>1.42895024628142</v>
      </c>
      <c r="I23" s="117" t="n">
        <f aca="false">'Balance Sheet'!I$45</f>
        <v>0.93435711699645</v>
      </c>
      <c r="J23" s="117" t="n">
        <f aca="false">'Balance Sheet'!J$45</f>
        <v>0.58378223245902</v>
      </c>
      <c r="K23" s="117" t="n">
        <f aca="false">'Balance Sheet'!K$45</f>
        <v>0.331824600796394</v>
      </c>
      <c r="L23" s="117" t="n">
        <f aca="false">'Balance Sheet'!L$45</f>
        <v>0.15529028673641</v>
      </c>
    </row>
    <row r="24" customFormat="false" ht="15" hidden="false" customHeight="false" outlineLevel="0" collapsed="false">
      <c r="A24" s="7" t="s">
        <v>800</v>
      </c>
      <c r="B24" s="14" t="s">
        <v>132</v>
      </c>
      <c r="C24" s="117" t="n">
        <f aca="false">'Balance Sheet'!C$43</f>
        <v>0</v>
      </c>
      <c r="D24" s="117" t="n">
        <f aca="false">'Balance Sheet'!D$43</f>
        <v>15.1235742165214</v>
      </c>
      <c r="E24" s="117" t="n">
        <f aca="false">'Balance Sheet'!E$43</f>
        <v>5.83712685872605</v>
      </c>
      <c r="F24" s="117" t="n">
        <f aca="false">'Balance Sheet'!F$43</f>
        <v>3.6618394295837</v>
      </c>
      <c r="G24" s="117" t="n">
        <f aca="false">'Balance Sheet'!G$43</f>
        <v>2.47354505163645</v>
      </c>
      <c r="H24" s="117" t="n">
        <f aca="false">'Balance Sheet'!H$43</f>
        <v>1.47002151495136</v>
      </c>
      <c r="I24" s="117" t="n">
        <f aca="false">'Balance Sheet'!I$43</f>
        <v>0.784911035230219</v>
      </c>
      <c r="J24" s="117" t="n">
        <f aca="false">'Balance Sheet'!J$43</f>
        <v>0.133723118276141</v>
      </c>
      <c r="K24" s="117" t="n">
        <f aca="false">'Balance Sheet'!K$43</f>
        <v>-0.50145648219388</v>
      </c>
      <c r="L24" s="117" t="n">
        <f aca="false">'Balance Sheet'!L$43</f>
        <v>-1.1168141631576</v>
      </c>
    </row>
    <row r="25" customFormat="false" ht="15" hidden="false" customHeight="false" outlineLevel="0" collapsed="false">
      <c r="A25" s="7" t="s">
        <v>988</v>
      </c>
      <c r="B25" s="14" t="s">
        <v>132</v>
      </c>
      <c r="C25" s="90" t="n">
        <f aca="false">'Balance Sheet'!C$13/'Capex &amp; Funding'!$C$72</f>
        <v>0.722838481766891</v>
      </c>
      <c r="D25" s="90" t="n">
        <f aca="false">'Balance Sheet'!D$13/'Capex &amp; Funding'!$C$72</f>
        <v>0.722838481766891</v>
      </c>
      <c r="E25" s="90" t="n">
        <f aca="false">'Balance Sheet'!E$13/'Capex &amp; Funding'!$C$72</f>
        <v>0.722838481766891</v>
      </c>
      <c r="F25" s="90" t="n">
        <f aca="false">'Balance Sheet'!F$13/'Capex &amp; Funding'!$C$72</f>
        <v>0.679468172860877</v>
      </c>
      <c r="G25" s="90" t="n">
        <f aca="false">'Balance Sheet'!G$13/'Capex &amp; Funding'!$C$72</f>
        <v>0.607184324684188</v>
      </c>
      <c r="H25" s="90" t="n">
        <f aca="false">'Balance Sheet'!H$13/'Capex &amp; Funding'!$C$72</f>
        <v>0.513215322054493</v>
      </c>
      <c r="I25" s="90" t="n">
        <f aca="false">'Balance Sheet'!I$13/'Capex &amp; Funding'!$C$72</f>
        <v>0.404789549789459</v>
      </c>
      <c r="J25" s="90" t="n">
        <f aca="false">'Balance Sheet'!J$13/'Capex &amp; Funding'!$C$72</f>
        <v>0.281907007889087</v>
      </c>
      <c r="K25" s="90" t="n">
        <f aca="false">'Balance Sheet'!K$13/'Capex &amp; Funding'!$C$72</f>
        <v>0.144567696353378</v>
      </c>
      <c r="L25" s="90" t="n">
        <f aca="false">'Balance Sheet'!L$13/'Capex &amp; Funding'!$C$72</f>
        <v>0</v>
      </c>
      <c r="N25" s="14" t="s">
        <v>989</v>
      </c>
    </row>
    <row r="27" customFormat="false" ht="15" hidden="false" customHeight="false" outlineLevel="0" collapsed="false">
      <c r="A27" s="8" t="s">
        <v>990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</row>
    <row r="28" customFormat="false" ht="15" hidden="false" customHeight="false" outlineLevel="0" collapsed="false">
      <c r="A28" s="7" t="s">
        <v>991</v>
      </c>
      <c r="B28" s="14" t="s">
        <v>132</v>
      </c>
      <c r="C28" s="117" t="n">
        <f aca="false">'DSCR &amp; Covenants'!C$18</f>
        <v>-0.806041234657476</v>
      </c>
      <c r="D28" s="117" t="n">
        <f aca="false">'DSCR &amp; Covenants'!D$18</f>
        <v>0.3676590093524</v>
      </c>
      <c r="E28" s="117" t="n">
        <f aca="false">'DSCR &amp; Covenants'!E$18</f>
        <v>1.44119331990132</v>
      </c>
      <c r="F28" s="117" t="n">
        <f aca="false">'DSCR &amp; Covenants'!F$18</f>
        <v>1.46136313211039</v>
      </c>
      <c r="G28" s="117" t="n">
        <f aca="false">'DSCR &amp; Covenants'!G$18</f>
        <v>1.53762781246757</v>
      </c>
      <c r="H28" s="117" t="n">
        <f aca="false">'DSCR &amp; Covenants'!H$18</f>
        <v>1.69285807822032</v>
      </c>
      <c r="I28" s="117" t="n">
        <f aca="false">'DSCR &amp; Covenants'!I$18</f>
        <v>1.54979618743682</v>
      </c>
      <c r="J28" s="117" t="n">
        <f aca="false">'DSCR &amp; Covenants'!J$18</f>
        <v>1.64038425840806</v>
      </c>
      <c r="K28" s="117" t="n">
        <f aca="false">'DSCR &amp; Covenants'!K$18</f>
        <v>1.76069212857713</v>
      </c>
      <c r="L28" s="117" t="n">
        <f aca="false">'DSCR &amp; Covenants'!L$18</f>
        <v>1.99133367540981</v>
      </c>
    </row>
    <row r="29" customFormat="false" ht="15" hidden="false" customHeight="false" outlineLevel="0" collapsed="false">
      <c r="A29" s="7" t="s">
        <v>992</v>
      </c>
      <c r="B29" s="14" t="s">
        <v>132</v>
      </c>
      <c r="C29" s="117" t="n">
        <f aca="false">'DSCR &amp; Covenants'!C$19</f>
        <v>-0.506951157813769</v>
      </c>
      <c r="D29" s="117" t="n">
        <f aca="false">'DSCR &amp; Covenants'!D$19</f>
        <v>0.552611370459394</v>
      </c>
      <c r="E29" s="117" t="n">
        <f aca="false">'DSCR &amp; Covenants'!E$19</f>
        <v>1.60375173824078</v>
      </c>
      <c r="F29" s="117" t="n">
        <f aca="false">'DSCR &amp; Covenants'!F$19</f>
        <v>1.53162138681724</v>
      </c>
      <c r="G29" s="117" t="n">
        <f aca="false">'DSCR &amp; Covenants'!G$19</f>
        <v>1.57846238616117</v>
      </c>
      <c r="H29" s="117" t="n">
        <f aca="false">'DSCR &amp; Covenants'!H$19</f>
        <v>1.71409699941037</v>
      </c>
      <c r="I29" s="117" t="n">
        <f aca="false">'DSCR &amp; Covenants'!I$19</f>
        <v>1.55834627006421</v>
      </c>
      <c r="J29" s="117" t="n">
        <f aca="false">'DSCR &amp; Covenants'!J$19</f>
        <v>1.64931544488343</v>
      </c>
      <c r="K29" s="117" t="n">
        <f aca="false">'DSCR &amp; Covenants'!K$19</f>
        <v>1.77575929516424</v>
      </c>
      <c r="L29" s="117" t="n">
        <f aca="false">'DSCR &amp; Covenants'!L$19</f>
        <v>2.01058772663442</v>
      </c>
    </row>
    <row r="30" customFormat="false" ht="15" hidden="false" customHeight="false" outlineLevel="0" collapsed="false">
      <c r="A30" s="7" t="s">
        <v>993</v>
      </c>
      <c r="B30" s="14" t="s">
        <v>132</v>
      </c>
      <c r="C30" s="117" t="n">
        <f aca="false">'DSCR &amp; Covenants'!C$20</f>
        <v>-0.444190942157271</v>
      </c>
      <c r="D30" s="117" t="n">
        <f aca="false">'DSCR &amp; Covenants'!D$20</f>
        <v>0.581210341275999</v>
      </c>
      <c r="E30" s="117" t="n">
        <f aca="false">'DSCR &amp; Covenants'!E$20</f>
        <v>1.55547332230345</v>
      </c>
      <c r="F30" s="117" t="n">
        <f aca="false">'DSCR &amp; Covenants'!F$20</f>
        <v>2.28915683298705</v>
      </c>
      <c r="G30" s="117" t="n">
        <f aca="false">'DSCR &amp; Covenants'!G$20</f>
        <v>3.0045566423775</v>
      </c>
      <c r="H30" s="117" t="n">
        <f aca="false">'DSCR &amp; Covenants'!H$20</f>
        <v>4.00428426284072</v>
      </c>
      <c r="I30" s="117" t="n">
        <f aca="false">'DSCR &amp; Covenants'!I$20</f>
        <v>5.26857601452804</v>
      </c>
      <c r="J30" s="117" t="n">
        <f aca="false">'DSCR &amp; Covenants'!J$20</f>
        <v>7.34201755662018</v>
      </c>
      <c r="K30" s="117" t="n">
        <f aca="false">'DSCR &amp; Covenants'!K$20</f>
        <v>11.736689634104</v>
      </c>
      <c r="L30" s="117" t="n">
        <f aca="false">'DSCR &amp; Covenants'!L$20</f>
        <v>25.3603453699443</v>
      </c>
    </row>
    <row r="31" customFormat="false" ht="15" hidden="false" customHeight="false" outlineLevel="0" collapsed="false">
      <c r="A31" s="7" t="s">
        <v>994</v>
      </c>
      <c r="B31" s="14" t="s">
        <v>132</v>
      </c>
      <c r="C31" s="90" t="n">
        <f aca="false">IFERROR('P&amp;L'!C$20/('P&amp;L'!C$27+'Debt Schedule'!C$9),0)</f>
        <v>-0.444190942157271</v>
      </c>
      <c r="D31" s="90" t="n">
        <f aca="false">IFERROR('P&amp;L'!D$20/('P&amp;L'!D$27+'Debt Schedule'!D$9),0)</f>
        <v>0.581210341275999</v>
      </c>
      <c r="E31" s="90" t="n">
        <f aca="false">IFERROR('P&amp;L'!E$20/('P&amp;L'!E$27+'Debt Schedule'!E$9),0)</f>
        <v>1.55547332230345</v>
      </c>
      <c r="F31" s="90" t="n">
        <f aca="false">IFERROR('P&amp;L'!F$20/('P&amp;L'!F$27+'Debt Schedule'!F$9),0)</f>
        <v>1.50108607548722</v>
      </c>
      <c r="G31" s="90" t="n">
        <f aca="false">IFERROR('P&amp;L'!G$20/('P&amp;L'!G$27+'Debt Schedule'!G$9),0)</f>
        <v>1.54852909022535</v>
      </c>
      <c r="H31" s="90" t="n">
        <f aca="false">IFERROR('P&amp;L'!H$20/('P&amp;L'!H$27+'Debt Schedule'!H$9),0)</f>
        <v>1.68027080253173</v>
      </c>
      <c r="I31" s="90" t="n">
        <f aca="false">IFERROR('P&amp;L'!I$20/('P&amp;L'!I$27+'Debt Schedule'!I$9),0)</f>
        <v>1.81664690347338</v>
      </c>
      <c r="J31" s="90" t="n">
        <f aca="false">IFERROR('P&amp;L'!J$20/('P&amp;L'!J$27+'Debt Schedule'!J$9),0)</f>
        <v>1.9560666986908</v>
      </c>
      <c r="K31" s="90" t="n">
        <f aca="false">IFERROR('P&amp;L'!K$20/('P&amp;L'!K$27+'Debt Schedule'!K$9),0)</f>
        <v>2.14089738136069</v>
      </c>
      <c r="L31" s="90" t="n">
        <f aca="false">IFERROR('P&amp;L'!L$20/('P&amp;L'!L$27+'Debt Schedule'!L$9),0)</f>
        <v>2.45416862364652</v>
      </c>
    </row>
    <row r="33" customFormat="false" ht="15" hidden="false" customHeight="false" outlineLevel="0" collapsed="false">
      <c r="A33" s="8" t="s">
        <v>995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</row>
    <row r="34" customFormat="false" ht="15" hidden="false" customHeight="false" outlineLevel="0" collapsed="false">
      <c r="A34" s="7" t="s">
        <v>802</v>
      </c>
      <c r="B34" s="14" t="s">
        <v>132</v>
      </c>
      <c r="C34" s="117" t="n">
        <f aca="false">'Balance Sheet'!C$44</f>
        <v>2.39246329613752</v>
      </c>
      <c r="D34" s="117" t="n">
        <f aca="false">'Balance Sheet'!D$44</f>
        <v>1.46087189750827</v>
      </c>
      <c r="E34" s="117" t="n">
        <f aca="false">'Balance Sheet'!E$44</f>
        <v>1.19024505794727</v>
      </c>
      <c r="F34" s="117" t="n">
        <f aca="false">'Balance Sheet'!F$44</f>
        <v>1.52230215706555</v>
      </c>
      <c r="G34" s="117" t="n">
        <f aca="false">'Balance Sheet'!G$44</f>
        <v>1.88526509774624</v>
      </c>
      <c r="H34" s="117" t="n">
        <f aca="false">'Balance Sheet'!H$44</f>
        <v>2.40070912435177</v>
      </c>
      <c r="I34" s="117" t="n">
        <f aca="false">'Balance Sheet'!I$44</f>
        <v>2.73194161077912</v>
      </c>
      <c r="J34" s="117" t="n">
        <f aca="false">'Balance Sheet'!J$44</f>
        <v>3.11460613958915</v>
      </c>
      <c r="K34" s="117" t="n">
        <f aca="false">'Balance Sheet'!K$44</f>
        <v>3.55836517736502</v>
      </c>
      <c r="L34" s="117" t="n">
        <f aca="false">'Balance Sheet'!L$44</f>
        <v>4.10335696129944</v>
      </c>
    </row>
    <row r="35" customFormat="false" ht="15" hidden="false" customHeight="false" outlineLevel="0" collapsed="false">
      <c r="A35" s="7" t="s">
        <v>996</v>
      </c>
      <c r="B35" s="14" t="s">
        <v>132</v>
      </c>
      <c r="C35" s="90" t="n">
        <f aca="false">IFERROR(('Balance Sheet'!C$32-'Balance Sheet'!C$29)/'Balance Sheet'!C$19,0)</f>
        <v>2.3094527448426</v>
      </c>
      <c r="D35" s="90" t="n">
        <f aca="false">IFERROR(('Balance Sheet'!D$32-'Balance Sheet'!D$29)/'Balance Sheet'!D$19,0)</f>
        <v>1.37319668720822</v>
      </c>
      <c r="E35" s="90" t="n">
        <f aca="false">IFERROR(('Balance Sheet'!E$32-'Balance Sheet'!E$29)/'Balance Sheet'!E$19,0)</f>
        <v>1.09738480201439</v>
      </c>
      <c r="F35" s="90" t="n">
        <f aca="false">IFERROR(('Balance Sheet'!F$32-'Balance Sheet'!F$29)/'Balance Sheet'!F$19,0)</f>
        <v>1.42250076456301</v>
      </c>
      <c r="G35" s="90" t="n">
        <f aca="false">IFERROR(('Balance Sheet'!G$32-'Balance Sheet'!G$29)/'Balance Sheet'!G$19,0)</f>
        <v>1.78135098307664</v>
      </c>
      <c r="H35" s="90" t="n">
        <f aca="false">IFERROR(('Balance Sheet'!H$32-'Balance Sheet'!H$29)/'Balance Sheet'!H$19,0)</f>
        <v>2.29157033277225</v>
      </c>
      <c r="I35" s="90" t="n">
        <f aca="false">IFERROR(('Balance Sheet'!I$32-'Balance Sheet'!I$29)/'Balance Sheet'!I$19,0)</f>
        <v>2.6189324122396</v>
      </c>
      <c r="J35" s="90" t="n">
        <f aca="false">IFERROR(('Balance Sheet'!J$32-'Balance Sheet'!J$29)/'Balance Sheet'!J$19,0)</f>
        <v>2.99803075399199</v>
      </c>
      <c r="K35" s="90" t="n">
        <f aca="false">IFERROR(('Balance Sheet'!K$32-'Balance Sheet'!K$29)/'Balance Sheet'!K$19,0)</f>
        <v>3.43817421972338</v>
      </c>
      <c r="L35" s="90" t="n">
        <f aca="false">IFERROR(('Balance Sheet'!L$32-'Balance Sheet'!L$29)/'Balance Sheet'!L$19,0)</f>
        <v>3.9797003214683</v>
      </c>
    </row>
    <row r="36" customFormat="false" ht="15" hidden="false" customHeight="false" outlineLevel="0" collapsed="false">
      <c r="A36" s="7" t="s">
        <v>997</v>
      </c>
      <c r="B36" s="14" t="s">
        <v>162</v>
      </c>
      <c r="C36" s="79" t="n">
        <f aca="false">'Cash Flow'!C$25</f>
        <v>825.748092158957</v>
      </c>
      <c r="D36" s="79" t="n">
        <f aca="false">'Cash Flow'!D$25</f>
        <v>421.714714245198</v>
      </c>
      <c r="E36" s="79" t="n">
        <f aca="false">'Cash Flow'!E$25</f>
        <v>157.938160745103</v>
      </c>
      <c r="F36" s="79" t="n">
        <f aca="false">'Cash Flow'!F$25</f>
        <v>535.406815001803</v>
      </c>
      <c r="G36" s="79" t="n">
        <f aca="false">'Cash Flow'!G$25</f>
        <v>1104.5678411951</v>
      </c>
      <c r="H36" s="79" t="n">
        <f aca="false">'Cash Flow'!H$25</f>
        <v>1935.36931491817</v>
      </c>
      <c r="I36" s="79" t="n">
        <f aca="false">'Cash Flow'!I$25</f>
        <v>2531.02434271761</v>
      </c>
      <c r="J36" s="79" t="n">
        <f aca="false">'Cash Flow'!J$25</f>
        <v>3274.12253648642</v>
      </c>
      <c r="K36" s="79" t="n">
        <f aca="false">'Cash Flow'!K$25</f>
        <v>4205.4352018186</v>
      </c>
      <c r="L36" s="79" t="n">
        <f aca="false">'Cash Flow'!L$25</f>
        <v>5426.06567547277</v>
      </c>
    </row>
    <row r="38" customFormat="false" ht="15" hidden="false" customHeight="false" outlineLevel="0" collapsed="false">
      <c r="A38" s="8" t="s">
        <v>998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</row>
    <row r="39" customFormat="false" ht="15" hidden="false" customHeight="false" outlineLevel="0" collapsed="false">
      <c r="A39" s="7" t="s">
        <v>999</v>
      </c>
      <c r="B39" s="14" t="s">
        <v>237</v>
      </c>
      <c r="C39" s="83" t="n">
        <f aca="false">'Working Capital'!C$7</f>
        <v>47.95</v>
      </c>
      <c r="D39" s="83" t="n">
        <f aca="false">'Working Capital'!D$7</f>
        <v>47.95</v>
      </c>
      <c r="E39" s="83" t="n">
        <f aca="false">'Working Capital'!E$7</f>
        <v>47.95</v>
      </c>
      <c r="F39" s="83" t="n">
        <f aca="false">'Working Capital'!F$7</f>
        <v>47.95</v>
      </c>
      <c r="G39" s="83" t="n">
        <f aca="false">'Working Capital'!G$7</f>
        <v>47.95</v>
      </c>
      <c r="H39" s="83" t="n">
        <f aca="false">'Working Capital'!H$7</f>
        <v>47.95</v>
      </c>
      <c r="I39" s="83" t="n">
        <f aca="false">'Working Capital'!I$7</f>
        <v>47.95</v>
      </c>
      <c r="J39" s="83" t="n">
        <f aca="false">'Working Capital'!J$7</f>
        <v>47.95</v>
      </c>
      <c r="K39" s="83" t="n">
        <f aca="false">'Working Capital'!K$7</f>
        <v>47.95</v>
      </c>
      <c r="L39" s="83" t="n">
        <f aca="false">'Working Capital'!L$7</f>
        <v>47.95</v>
      </c>
    </row>
    <row r="40" customFormat="false" ht="15" hidden="false" customHeight="false" outlineLevel="0" collapsed="false">
      <c r="A40" s="7" t="s">
        <v>1000</v>
      </c>
      <c r="B40" s="14" t="s">
        <v>237</v>
      </c>
      <c r="C40" s="83" t="n">
        <f aca="false">Assumptions!$C$81</f>
        <v>25</v>
      </c>
      <c r="D40" s="83" t="n">
        <f aca="false">Assumptions!$C$81</f>
        <v>25</v>
      </c>
      <c r="E40" s="83" t="n">
        <f aca="false">Assumptions!$C$81</f>
        <v>25</v>
      </c>
      <c r="F40" s="83" t="n">
        <f aca="false">Assumptions!$C$81</f>
        <v>25</v>
      </c>
      <c r="G40" s="83" t="n">
        <f aca="false">Assumptions!$C$81</f>
        <v>25</v>
      </c>
      <c r="H40" s="83" t="n">
        <f aca="false">Assumptions!$C$81</f>
        <v>25</v>
      </c>
      <c r="I40" s="83" t="n">
        <f aca="false">Assumptions!$C$81</f>
        <v>25</v>
      </c>
      <c r="J40" s="83" t="n">
        <f aca="false">Assumptions!$C$81</f>
        <v>25</v>
      </c>
      <c r="K40" s="83" t="n">
        <f aca="false">Assumptions!$C$81</f>
        <v>25</v>
      </c>
      <c r="L40" s="83" t="n">
        <f aca="false">Assumptions!$C$81</f>
        <v>25</v>
      </c>
    </row>
    <row r="41" customFormat="false" ht="15" hidden="false" customHeight="false" outlineLevel="0" collapsed="false">
      <c r="A41" s="7" t="s">
        <v>1001</v>
      </c>
      <c r="B41" s="14" t="s">
        <v>237</v>
      </c>
      <c r="C41" s="83" t="n">
        <f aca="false">Assumptions!$C$82</f>
        <v>45</v>
      </c>
      <c r="D41" s="83" t="n">
        <f aca="false">Assumptions!$C$82</f>
        <v>45</v>
      </c>
      <c r="E41" s="83" t="n">
        <f aca="false">Assumptions!$C$82</f>
        <v>45</v>
      </c>
      <c r="F41" s="83" t="n">
        <f aca="false">Assumptions!$C$82</f>
        <v>45</v>
      </c>
      <c r="G41" s="83" t="n">
        <f aca="false">Assumptions!$C$82</f>
        <v>45</v>
      </c>
      <c r="H41" s="83" t="n">
        <f aca="false">Assumptions!$C$82</f>
        <v>45</v>
      </c>
      <c r="I41" s="83" t="n">
        <f aca="false">Assumptions!$C$82</f>
        <v>45</v>
      </c>
      <c r="J41" s="83" t="n">
        <f aca="false">Assumptions!$C$82</f>
        <v>45</v>
      </c>
      <c r="K41" s="83" t="n">
        <f aca="false">Assumptions!$C$82</f>
        <v>45</v>
      </c>
      <c r="L41" s="83" t="n">
        <f aca="false">Assumptions!$C$82</f>
        <v>45</v>
      </c>
    </row>
    <row r="42" customFormat="false" ht="15" hidden="false" customHeight="false" outlineLevel="0" collapsed="false">
      <c r="A42" s="7" t="s">
        <v>1002</v>
      </c>
      <c r="B42" s="14" t="s">
        <v>237</v>
      </c>
      <c r="C42" s="83" t="n">
        <f aca="false">'Working Capital'!C$22</f>
        <v>27.95</v>
      </c>
      <c r="D42" s="83" t="n">
        <f aca="false">'Working Capital'!D$22</f>
        <v>27.95</v>
      </c>
      <c r="E42" s="83" t="n">
        <f aca="false">'Working Capital'!E$22</f>
        <v>27.95</v>
      </c>
      <c r="F42" s="83" t="n">
        <f aca="false">'Working Capital'!F$22</f>
        <v>27.95</v>
      </c>
      <c r="G42" s="83" t="n">
        <f aca="false">'Working Capital'!G$22</f>
        <v>27.95</v>
      </c>
      <c r="H42" s="83" t="n">
        <f aca="false">'Working Capital'!H$22</f>
        <v>27.95</v>
      </c>
      <c r="I42" s="83" t="n">
        <f aca="false">'Working Capital'!I$22</f>
        <v>27.95</v>
      </c>
      <c r="J42" s="83" t="n">
        <f aca="false">'Working Capital'!J$22</f>
        <v>27.95</v>
      </c>
      <c r="K42" s="83" t="n">
        <f aca="false">'Working Capital'!K$22</f>
        <v>27.95</v>
      </c>
      <c r="L42" s="83" t="n">
        <f aca="false">'Working Capital'!L$22</f>
        <v>27.95</v>
      </c>
    </row>
    <row r="43" customFormat="false" ht="15" hidden="false" customHeight="false" outlineLevel="0" collapsed="false">
      <c r="A43" s="7" t="s">
        <v>1003</v>
      </c>
      <c r="B43" s="14" t="s">
        <v>129</v>
      </c>
      <c r="C43" s="87" t="n">
        <f aca="false">'Working Capital'!C$19/'Revenue Build'!C$43</f>
        <v>0.0947596380241953</v>
      </c>
      <c r="D43" s="87" t="n">
        <f aca="false">'Working Capital'!D$19/'Revenue Build'!D$43</f>
        <v>0.0971439574690377</v>
      </c>
      <c r="E43" s="87" t="n">
        <f aca="false">'Working Capital'!E$19/'Revenue Build'!E$43</f>
        <v>0.0977941687092043</v>
      </c>
      <c r="F43" s="87" t="n">
        <f aca="false">'Working Capital'!F$19/'Revenue Build'!F$43</f>
        <v>0.0981637535569061</v>
      </c>
      <c r="G43" s="87" t="n">
        <f aca="false">'Working Capital'!G$19/'Revenue Build'!G$43</f>
        <v>0.0973686611229737</v>
      </c>
      <c r="H43" s="87" t="n">
        <f aca="false">'Working Capital'!H$19/'Revenue Build'!H$43</f>
        <v>0.0976081699963738</v>
      </c>
      <c r="I43" s="87" t="n">
        <f aca="false">'Working Capital'!I$19/'Revenue Build'!I$43</f>
        <v>0.0977309413049476</v>
      </c>
      <c r="J43" s="87" t="n">
        <f aca="false">'Working Capital'!J$19/'Revenue Build'!J$43</f>
        <v>0.0978386950050915</v>
      </c>
      <c r="K43" s="87" t="n">
        <f aca="false">'Working Capital'!K$19/'Revenue Build'!K$43</f>
        <v>0.0979628330189361</v>
      </c>
      <c r="L43" s="87" t="n">
        <f aca="false">'Working Capital'!L$19/'Revenue Build'!L$43</f>
        <v>0.0980844010504288</v>
      </c>
    </row>
    <row r="44" customFormat="false" ht="15" hidden="false" customHeight="false" outlineLevel="0" collapsed="false">
      <c r="A44" s="7" t="s">
        <v>1004</v>
      </c>
      <c r="B44" s="14" t="s">
        <v>132</v>
      </c>
      <c r="C44" s="117" t="n">
        <f aca="false">'Unit Economics'!C$27</f>
        <v>0.262443740144071</v>
      </c>
      <c r="D44" s="117" t="n">
        <f aca="false">'Unit Economics'!D$27</f>
        <v>0.471549780927453</v>
      </c>
      <c r="E44" s="117" t="n">
        <f aca="false">'Unit Economics'!E$27</f>
        <v>0.65537318208478</v>
      </c>
      <c r="F44" s="117" t="n">
        <f aca="false">'Unit Economics'!F$27</f>
        <v>0.794249948318861</v>
      </c>
      <c r="G44" s="117" t="n">
        <f aca="false">'Unit Economics'!G$27</f>
        <v>0.90369488810434</v>
      </c>
      <c r="H44" s="117" t="n">
        <f aca="false">'Unit Economics'!H$27</f>
        <v>0.951853906223792</v>
      </c>
      <c r="I44" s="117" t="n">
        <f aca="false">'Unit Economics'!I$27</f>
        <v>0.998087107055773</v>
      </c>
      <c r="J44" s="117" t="n">
        <f aca="false">'Unit Economics'!J$27</f>
        <v>1.03065499046678</v>
      </c>
      <c r="K44" s="117" t="n">
        <f aca="false">'Unit Economics'!K$27</f>
        <v>1.05266809041482</v>
      </c>
      <c r="L44" s="117" t="n">
        <f aca="false">'Unit Economics'!L$27</f>
        <v>1.05510487762937</v>
      </c>
    </row>
    <row r="46" customFormat="false" ht="15" hidden="false" customHeight="false" outlineLevel="0" collapsed="false">
      <c r="A46" s="8" t="s">
        <v>1005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</row>
    <row r="47" customFormat="false" ht="15" hidden="false" customHeight="false" outlineLevel="0" collapsed="false">
      <c r="A47" s="7" t="s">
        <v>499</v>
      </c>
      <c r="B47" s="14" t="s">
        <v>129</v>
      </c>
      <c r="C47" s="82" t="n">
        <f aca="false">'Revenue Build'!C$8</f>
        <v>0.2736</v>
      </c>
      <c r="D47" s="82" t="n">
        <f aca="false">'Revenue Build'!D$8</f>
        <v>0.432</v>
      </c>
      <c r="E47" s="82" t="n">
        <f aca="false">'Revenue Build'!E$8</f>
        <v>0.5616</v>
      </c>
      <c r="F47" s="82" t="n">
        <f aca="false">'Revenue Build'!F$8</f>
        <v>0.6408</v>
      </c>
      <c r="G47" s="82" t="n">
        <f aca="false">'Revenue Build'!G$8</f>
        <v>0.6984</v>
      </c>
      <c r="H47" s="82" t="n">
        <f aca="false">'Revenue Build'!H$8</f>
        <v>0.72</v>
      </c>
      <c r="I47" s="82" t="n">
        <f aca="false">'Revenue Build'!I$8</f>
        <v>0.72</v>
      </c>
      <c r="J47" s="82" t="n">
        <f aca="false">'Revenue Build'!J$8</f>
        <v>0.72</v>
      </c>
      <c r="K47" s="82" t="n">
        <f aca="false">'Revenue Build'!K$8</f>
        <v>0.72</v>
      </c>
      <c r="L47" s="82" t="n">
        <f aca="false">'Revenue Build'!L$8</f>
        <v>0.72</v>
      </c>
    </row>
    <row r="48" customFormat="false" ht="15" hidden="false" customHeight="false" outlineLevel="0" collapsed="false">
      <c r="A48" s="7" t="s">
        <v>1006</v>
      </c>
      <c r="B48" s="14" t="s">
        <v>271</v>
      </c>
      <c r="C48" s="79" t="n">
        <f aca="false">'Revenue Build'!C$14</f>
        <v>24088.5</v>
      </c>
      <c r="D48" s="79" t="n">
        <f aca="false">'Revenue Build'!D$14</f>
        <v>25895.1375</v>
      </c>
      <c r="E48" s="79" t="n">
        <f aca="false">'Revenue Build'!E$14</f>
        <v>27837.2728125</v>
      </c>
      <c r="F48" s="79" t="n">
        <f aca="false">'Revenue Build'!F$14</f>
        <v>29925.0682734375</v>
      </c>
      <c r="G48" s="79" t="n">
        <f aca="false">'Revenue Build'!G$14</f>
        <v>32169.4483939453</v>
      </c>
      <c r="H48" s="79" t="n">
        <f aca="false">'Revenue Build'!H$14</f>
        <v>34582.1570234912</v>
      </c>
      <c r="I48" s="79" t="n">
        <f aca="false">'Revenue Build'!I$14</f>
        <v>37175.818800253</v>
      </c>
      <c r="J48" s="79" t="n">
        <f aca="false">'Revenue Build'!J$14</f>
        <v>39964.005210272</v>
      </c>
      <c r="K48" s="79" t="n">
        <f aca="false">'Revenue Build'!K$14</f>
        <v>42961.3056010424</v>
      </c>
      <c r="L48" s="79" t="n">
        <f aca="false">'Revenue Build'!L$14</f>
        <v>46183.4035211206</v>
      </c>
    </row>
    <row r="49" customFormat="false" ht="15" hidden="false" customHeight="false" outlineLevel="0" collapsed="false">
      <c r="A49" s="7" t="s">
        <v>1007</v>
      </c>
      <c r="B49" s="14" t="s">
        <v>237</v>
      </c>
      <c r="C49" s="83" t="n">
        <f aca="false">'Revenue Build'!C$10</f>
        <v>3.9</v>
      </c>
      <c r="D49" s="83" t="n">
        <f aca="false">'Revenue Build'!D$10</f>
        <v>3.9</v>
      </c>
      <c r="E49" s="83" t="n">
        <f aca="false">'Revenue Build'!E$10</f>
        <v>3.9</v>
      </c>
      <c r="F49" s="83" t="n">
        <f aca="false">'Revenue Build'!F$10</f>
        <v>3.9</v>
      </c>
      <c r="G49" s="83" t="n">
        <f aca="false">'Revenue Build'!G$10</f>
        <v>3.9</v>
      </c>
      <c r="H49" s="83" t="n">
        <f aca="false">'Revenue Build'!H$10</f>
        <v>3.9</v>
      </c>
      <c r="I49" s="83" t="n">
        <f aca="false">'Revenue Build'!I$10</f>
        <v>3.9</v>
      </c>
      <c r="J49" s="83" t="n">
        <f aca="false">'Revenue Build'!J$10</f>
        <v>3.9</v>
      </c>
      <c r="K49" s="83" t="n">
        <f aca="false">'Revenue Build'!K$10</f>
        <v>3.9</v>
      </c>
      <c r="L49" s="83" t="n">
        <f aca="false">'Revenue Build'!L$10</f>
        <v>3.9</v>
      </c>
    </row>
    <row r="50" customFormat="false" ht="15" hidden="false" customHeight="false" outlineLevel="0" collapsed="false">
      <c r="A50" s="7" t="s">
        <v>1008</v>
      </c>
      <c r="B50" s="14" t="s">
        <v>203</v>
      </c>
      <c r="C50" s="83" t="n">
        <f aca="false">'Unit Economics'!C$23</f>
        <v>25.6061538461539</v>
      </c>
      <c r="D50" s="83" t="n">
        <f aca="false">'Unit Economics'!D$23</f>
        <v>40.4307692307692</v>
      </c>
      <c r="E50" s="83" t="n">
        <f aca="false">'Unit Economics'!E$23</f>
        <v>52.56</v>
      </c>
      <c r="F50" s="83" t="n">
        <f aca="false">'Unit Economics'!F$23</f>
        <v>59.9723076923077</v>
      </c>
      <c r="G50" s="83" t="n">
        <f aca="false">'Unit Economics'!G$23</f>
        <v>65.3630769230769</v>
      </c>
      <c r="H50" s="83" t="n">
        <f aca="false">'Unit Economics'!H$23</f>
        <v>67.3846153846154</v>
      </c>
      <c r="I50" s="83" t="n">
        <f aca="false">'Unit Economics'!I$23</f>
        <v>67.3846153846154</v>
      </c>
      <c r="J50" s="83" t="n">
        <f aca="false">'Unit Economics'!J$23</f>
        <v>67.3846153846154</v>
      </c>
      <c r="K50" s="83" t="n">
        <f aca="false">'Unit Economics'!K$23</f>
        <v>67.3846153846154</v>
      </c>
      <c r="L50" s="83" t="n">
        <f aca="false">'Unit Economics'!L$23</f>
        <v>67.3846153846154</v>
      </c>
    </row>
    <row r="51" customFormat="false" ht="15" hidden="false" customHeight="false" outlineLevel="0" collapsed="false">
      <c r="A51" s="7" t="s">
        <v>511</v>
      </c>
      <c r="B51" s="14" t="s">
        <v>203</v>
      </c>
      <c r="C51" s="83" t="n">
        <f aca="false">'Revenue Build'!C$18</f>
        <v>100</v>
      </c>
      <c r="D51" s="83" t="n">
        <f aca="false">'Revenue Build'!D$18</f>
        <v>160</v>
      </c>
      <c r="E51" s="83" t="n">
        <f aca="false">'Revenue Build'!E$18</f>
        <v>220</v>
      </c>
      <c r="F51" s="83" t="n">
        <f aca="false">'Revenue Build'!F$18</f>
        <v>260</v>
      </c>
      <c r="G51" s="83" t="n">
        <f aca="false">'Revenue Build'!G$18</f>
        <v>290</v>
      </c>
      <c r="H51" s="83" t="n">
        <f aca="false">'Revenue Build'!H$18</f>
        <v>310</v>
      </c>
      <c r="I51" s="83" t="n">
        <f aca="false">'Revenue Build'!I$18</f>
        <v>325</v>
      </c>
      <c r="J51" s="83" t="n">
        <f aca="false">'Revenue Build'!J$18</f>
        <v>335</v>
      </c>
      <c r="K51" s="83" t="n">
        <f aca="false">'Revenue Build'!K$18</f>
        <v>345</v>
      </c>
      <c r="L51" s="83" t="n">
        <f aca="false">'Revenue Build'!L$18</f>
        <v>355</v>
      </c>
    </row>
    <row r="52" customFormat="false" ht="15" hidden="false" customHeight="false" outlineLevel="0" collapsed="false">
      <c r="A52" s="7" t="s">
        <v>1009</v>
      </c>
      <c r="B52" s="14" t="s">
        <v>563</v>
      </c>
      <c r="C52" s="118" t="n">
        <f aca="false">Manpower!C$15</f>
        <v>2.35</v>
      </c>
      <c r="D52" s="118" t="n">
        <f aca="false">Manpower!D$15</f>
        <v>2.72</v>
      </c>
      <c r="E52" s="118" t="n">
        <f aca="false">Manpower!E$15</f>
        <v>2.92</v>
      </c>
      <c r="F52" s="118" t="n">
        <f aca="false">Manpower!F$15</f>
        <v>3.02</v>
      </c>
      <c r="G52" s="118" t="n">
        <f aca="false">Manpower!G$15</f>
        <v>3.09</v>
      </c>
      <c r="H52" s="118" t="n">
        <f aca="false">Manpower!H$15</f>
        <v>3.09</v>
      </c>
      <c r="I52" s="118" t="n">
        <f aca="false">Manpower!I$15</f>
        <v>3.09</v>
      </c>
      <c r="J52" s="118" t="n">
        <f aca="false">Manpower!J$15</f>
        <v>3.09</v>
      </c>
      <c r="K52" s="118" t="n">
        <f aca="false">Manpower!K$15</f>
        <v>3.09</v>
      </c>
      <c r="L52" s="118" t="n">
        <f aca="false">Manpower!L$15</f>
        <v>3.09</v>
      </c>
    </row>
    <row r="53" customFormat="false" ht="15" hidden="false" customHeight="false" outlineLevel="0" collapsed="false">
      <c r="A53" s="7" t="s">
        <v>1010</v>
      </c>
      <c r="B53" s="14" t="s">
        <v>129</v>
      </c>
      <c r="C53" s="82" t="n">
        <f aca="false">Manpower!C$32</f>
        <v>0.495765227124802</v>
      </c>
      <c r="D53" s="82" t="n">
        <f aca="false">Manpower!D$32</f>
        <v>0.36326696023017</v>
      </c>
      <c r="E53" s="82" t="n">
        <f aca="false">Manpower!E$32</f>
        <v>0.297894335308052</v>
      </c>
      <c r="F53" s="82" t="n">
        <f aca="false">Manpower!F$32</f>
        <v>0.271072051886038</v>
      </c>
      <c r="G53" s="82" t="n">
        <f aca="false">Manpower!G$32</f>
        <v>0.253423754856567</v>
      </c>
      <c r="H53" s="82" t="n">
        <f aca="false">Manpower!H$32</f>
        <v>0.245847805645949</v>
      </c>
      <c r="I53" s="82" t="n">
        <f aca="false">Manpower!I$32</f>
        <v>0.244854348752576</v>
      </c>
      <c r="J53" s="82" t="n">
        <f aca="false">Manpower!J$32</f>
        <v>0.245202581502268</v>
      </c>
      <c r="K53" s="82" t="n">
        <f aca="false">Manpower!K$32</f>
        <v>0.245117607457158</v>
      </c>
      <c r="L53" s="82" t="n">
        <f aca="false">Manpower!L$32</f>
        <v>0.245550466511196</v>
      </c>
    </row>
    <row r="54" customFormat="false" ht="15" hidden="false" customHeight="false" outlineLevel="0" collapsed="false">
      <c r="A54" s="7" t="s">
        <v>1011</v>
      </c>
      <c r="B54" s="14" t="s">
        <v>129</v>
      </c>
      <c r="C54" s="82" t="n">
        <f aca="false">Assumptions!$C$66</f>
        <v>0.23</v>
      </c>
      <c r="D54" s="82" t="n">
        <f aca="false">Assumptions!$C$66</f>
        <v>0.23</v>
      </c>
      <c r="E54" s="82" t="n">
        <f aca="false">Assumptions!$C$66</f>
        <v>0.23</v>
      </c>
      <c r="F54" s="82" t="n">
        <f aca="false">Assumptions!$C$66</f>
        <v>0.23</v>
      </c>
      <c r="G54" s="82" t="n">
        <f aca="false">Assumptions!$C$66</f>
        <v>0.23</v>
      </c>
      <c r="H54" s="82" t="n">
        <f aca="false">Assumptions!$C$66</f>
        <v>0.23</v>
      </c>
      <c r="I54" s="82" t="n">
        <f aca="false">Assumptions!$C$66</f>
        <v>0.23</v>
      </c>
      <c r="J54" s="82" t="n">
        <f aca="false">Assumptions!$C$66</f>
        <v>0.23</v>
      </c>
      <c r="K54" s="82" t="n">
        <f aca="false">Assumptions!$C$66</f>
        <v>0.23</v>
      </c>
      <c r="L54" s="82" t="n">
        <f aca="false">Assumptions!$C$66</f>
        <v>0.23</v>
      </c>
    </row>
    <row r="56" customFormat="false" ht="15" hidden="false" customHeight="false" outlineLevel="0" collapsed="false">
      <c r="A56" s="8" t="s">
        <v>1012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</row>
    <row r="57" customFormat="false" ht="15" hidden="false" customHeight="false" outlineLevel="0" collapsed="false">
      <c r="A57" s="7" t="s">
        <v>982</v>
      </c>
      <c r="B57" s="14" t="s">
        <v>129</v>
      </c>
      <c r="C57" s="87" t="n">
        <f aca="false">'P&amp;L'!C$39</f>
        <v>-0.620591457984682</v>
      </c>
      <c r="D57" s="87" t="n">
        <f aca="false">'P&amp;L'!D$39</f>
        <v>-0.193022402529618</v>
      </c>
      <c r="E57" s="87" t="n">
        <f aca="false">'P&amp;L'!E$39</f>
        <v>-0.0210755216968464</v>
      </c>
      <c r="F57" s="87" t="n">
        <f aca="false">'P&amp;L'!F$39</f>
        <v>0.0532550725799828</v>
      </c>
      <c r="G57" s="87" t="n">
        <f aca="false">'P&amp;L'!G$39</f>
        <v>0.0925182978901524</v>
      </c>
      <c r="H57" s="87" t="n">
        <f aca="false">'P&amp;L'!H$39</f>
        <v>0.135178736149798</v>
      </c>
      <c r="I57" s="87" t="n">
        <f aca="false">'P&amp;L'!I$39</f>
        <v>0.119090771554319</v>
      </c>
      <c r="J57" s="87" t="n">
        <f aca="false">'P&amp;L'!J$39</f>
        <v>0.132346865993174</v>
      </c>
      <c r="K57" s="87" t="n">
        <f aca="false">'P&amp;L'!K$39</f>
        <v>0.146238167967051</v>
      </c>
      <c r="L57" s="87" t="n">
        <f aca="false">'P&amp;L'!L$39</f>
        <v>0.158763601337297</v>
      </c>
    </row>
    <row r="58" customFormat="false" ht="15" hidden="false" customHeight="false" outlineLevel="0" collapsed="false">
      <c r="A58" s="7" t="s">
        <v>1013</v>
      </c>
      <c r="B58" s="14" t="s">
        <v>132</v>
      </c>
      <c r="C58" s="90" t="n">
        <f aca="false">'Unit Economics'!C$27</f>
        <v>0.262443740144071</v>
      </c>
      <c r="D58" s="90" t="n">
        <f aca="false">'Unit Economics'!D$27</f>
        <v>0.471549780927453</v>
      </c>
      <c r="E58" s="90" t="n">
        <f aca="false">'Unit Economics'!E$27</f>
        <v>0.65537318208478</v>
      </c>
      <c r="F58" s="90" t="n">
        <f aca="false">'Unit Economics'!F$27</f>
        <v>0.794249948318861</v>
      </c>
      <c r="G58" s="90" t="n">
        <f aca="false">'Unit Economics'!G$27</f>
        <v>0.90369488810434</v>
      </c>
      <c r="H58" s="90" t="n">
        <f aca="false">'Unit Economics'!H$27</f>
        <v>0.951853906223792</v>
      </c>
      <c r="I58" s="90" t="n">
        <f aca="false">'Unit Economics'!I$27</f>
        <v>0.998087107055773</v>
      </c>
      <c r="J58" s="90" t="n">
        <f aca="false">'Unit Economics'!J$27</f>
        <v>1.03065499046678</v>
      </c>
      <c r="K58" s="90" t="n">
        <f aca="false">'Unit Economics'!K$27</f>
        <v>1.05266809041482</v>
      </c>
      <c r="L58" s="90" t="n">
        <f aca="false">'Unit Economics'!L$27</f>
        <v>1.05510487762937</v>
      </c>
    </row>
    <row r="59" customFormat="false" ht="15" hidden="false" customHeight="false" outlineLevel="0" collapsed="false">
      <c r="A59" s="7" t="s">
        <v>1014</v>
      </c>
      <c r="B59" s="14" t="s">
        <v>132</v>
      </c>
      <c r="C59" s="90" t="n">
        <f aca="false">IFERROR('Balance Sheet'!C$34/'Balance Sheet'!C$10,0)</f>
        <v>3.63846242750486</v>
      </c>
      <c r="D59" s="90" t="n">
        <f aca="false">IFERROR('Balance Sheet'!D$34/'Balance Sheet'!D$10,0)</f>
        <v>4.9988063889815</v>
      </c>
      <c r="E59" s="90" t="n">
        <f aca="false">IFERROR('Balance Sheet'!E$34/'Balance Sheet'!E$10,0)</f>
        <v>5.45041204865291</v>
      </c>
      <c r="F59" s="90" t="n">
        <f aca="false">IFERROR('Balance Sheet'!F$34/'Balance Sheet'!F$10,0)</f>
        <v>4.49034856623665</v>
      </c>
      <c r="G59" s="90" t="n">
        <f aca="false">IFERROR('Balance Sheet'!G$34/'Balance Sheet'!G$10,0)</f>
        <v>3.34280572540096</v>
      </c>
      <c r="H59" s="90" t="n">
        <f aca="false">IFERROR('Balance Sheet'!H$34/'Balance Sheet'!H$10,0)</f>
        <v>2.42895024628142</v>
      </c>
      <c r="I59" s="90" t="n">
        <f aca="false">IFERROR('Balance Sheet'!I$34/'Balance Sheet'!I$10,0)</f>
        <v>1.93435711699645</v>
      </c>
      <c r="J59" s="90" t="n">
        <f aca="false">IFERROR('Balance Sheet'!J$34/'Balance Sheet'!J$10,0)</f>
        <v>1.58378223245902</v>
      </c>
      <c r="K59" s="90" t="n">
        <f aca="false">IFERROR('Balance Sheet'!K$34/'Balance Sheet'!K$10,0)</f>
        <v>1.33182460079639</v>
      </c>
      <c r="L59" s="90" t="n">
        <f aca="false">IFERROR('Balance Sheet'!L$34/'Balance Sheet'!L$10,0)</f>
        <v>1.15529028673641</v>
      </c>
    </row>
    <row r="60" customFormat="false" ht="15" hidden="false" customHeight="false" outlineLevel="0" collapsed="false">
      <c r="A60" s="6" t="s">
        <v>1015</v>
      </c>
      <c r="B60" s="14" t="s">
        <v>129</v>
      </c>
      <c r="C60" s="55" t="n">
        <f aca="false">C57*C58*C59</f>
        <v>-0.592597624779075</v>
      </c>
      <c r="D60" s="55" t="n">
        <f aca="false">D57*D58*D59</f>
        <v>-0.454989716051706</v>
      </c>
      <c r="E60" s="55" t="n">
        <f aca="false">E57*E58*E59</f>
        <v>-0.0752828992188248</v>
      </c>
      <c r="F60" s="55" t="n">
        <f aca="false">F57*F58*F59</f>
        <v>0.189932039111649</v>
      </c>
      <c r="G60" s="55" t="n">
        <f aca="false">G57*G58*G59</f>
        <v>0.279486346917668</v>
      </c>
      <c r="H60" s="55" t="n">
        <f aca="false">H57*H58*H59</f>
        <v>0.312534019304157</v>
      </c>
      <c r="I60" s="55" t="n">
        <f aca="false">I57*I58*I59</f>
        <v>0.229923419698544</v>
      </c>
      <c r="J60" s="55" t="n">
        <f aca="false">J57*J58*J59</f>
        <v>0.216034164972576</v>
      </c>
      <c r="K60" s="55" t="n">
        <f aca="false">K57*K58*K59</f>
        <v>0.205021416024374</v>
      </c>
      <c r="L60" s="55" t="n">
        <f aca="false">L57*L58*L59</f>
        <v>0.193525275520348</v>
      </c>
      <c r="N60" s="14" t="s">
        <v>1016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O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5"/>
    <col collapsed="false" customWidth="true" hidden="false" outlineLevel="0" max="16" min="3" style="0" width="13"/>
  </cols>
  <sheetData>
    <row r="1" customFormat="false" ht="24" hidden="false" customHeight="true" outlineLevel="0" collapsed="false">
      <c r="A1" s="15" t="s">
        <v>1017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" hidden="false" customHeight="false" outlineLevel="0" collapsed="false">
      <c r="A2" s="16" t="s">
        <v>1018</v>
      </c>
    </row>
    <row r="4" customFormat="false" ht="15" hidden="false" customHeight="false" outlineLevel="0" collapsed="false">
      <c r="A4" s="50" t="s">
        <v>473</v>
      </c>
      <c r="B4" s="50" t="s">
        <v>122</v>
      </c>
      <c r="C4" s="51" t="s">
        <v>241</v>
      </c>
      <c r="D4" s="51" t="s">
        <v>242</v>
      </c>
      <c r="E4" s="51" t="s">
        <v>243</v>
      </c>
      <c r="F4" s="51" t="s">
        <v>244</v>
      </c>
      <c r="G4" s="51" t="s">
        <v>245</v>
      </c>
      <c r="H4" s="51" t="s">
        <v>246</v>
      </c>
      <c r="I4" s="51" t="s">
        <v>247</v>
      </c>
      <c r="J4" s="51" t="s">
        <v>248</v>
      </c>
      <c r="K4" s="51" t="s">
        <v>249</v>
      </c>
      <c r="L4" s="51" t="s">
        <v>250</v>
      </c>
    </row>
    <row r="5" customFormat="false" ht="15" hidden="false" customHeight="false" outlineLevel="0" collapsed="false">
      <c r="A5" s="52" t="s">
        <v>251</v>
      </c>
      <c r="B5" s="9"/>
      <c r="C5" s="53" t="s">
        <v>252</v>
      </c>
      <c r="D5" s="53" t="s">
        <v>253</v>
      </c>
      <c r="E5" s="53" t="s">
        <v>254</v>
      </c>
      <c r="F5" s="53" t="s">
        <v>255</v>
      </c>
      <c r="G5" s="53" t="s">
        <v>256</v>
      </c>
      <c r="H5" s="53" t="s">
        <v>257</v>
      </c>
      <c r="I5" s="53" t="s">
        <v>258</v>
      </c>
      <c r="J5" s="53" t="s">
        <v>259</v>
      </c>
      <c r="K5" s="53" t="s">
        <v>260</v>
      </c>
      <c r="L5" s="53" t="s">
        <v>261</v>
      </c>
    </row>
    <row r="6" customFormat="false" ht="15" hidden="false" customHeight="false" outlineLevel="0" collapsed="false">
      <c r="A6" s="6" t="s">
        <v>1019</v>
      </c>
      <c r="B6" s="14" t="s">
        <v>162</v>
      </c>
      <c r="C6" s="79" t="n">
        <f aca="false">'Returns &amp; IRR'!C$13</f>
        <v>-671.901859939178</v>
      </c>
      <c r="D6" s="79" t="n">
        <f aca="false">'Returns &amp; IRR'!D$13</f>
        <v>306.474112719863</v>
      </c>
      <c r="E6" s="79" t="n">
        <f aca="false">'Returns &amp; IRR'!E$13</f>
        <v>507.255937133526</v>
      </c>
      <c r="F6" s="79" t="n">
        <f aca="false">'Returns &amp; IRR'!F$13</f>
        <v>1428.02380814883</v>
      </c>
      <c r="G6" s="79" t="n">
        <f aca="false">'Returns &amp; IRR'!G$13</f>
        <v>1673.63458373878</v>
      </c>
      <c r="H6" s="79" t="n">
        <f aca="false">'Returns &amp; IRR'!H$13</f>
        <v>1989.12801748167</v>
      </c>
      <c r="I6" s="79" t="n">
        <f aca="false">'Returns &amp; IRR'!I$13</f>
        <v>2216.85867818635</v>
      </c>
      <c r="J6" s="79" t="n">
        <f aca="false">'Returns &amp; IRR'!J$13</f>
        <v>2419.58112678966</v>
      </c>
      <c r="K6" s="79" t="n">
        <f aca="false">'Returns &amp; IRR'!K$13</f>
        <v>2650.59915199915</v>
      </c>
      <c r="L6" s="79" t="n">
        <f aca="false">'Returns &amp; IRR'!L$13</f>
        <v>2895.82115995814</v>
      </c>
    </row>
    <row r="7" customFormat="false" ht="15" hidden="false" customHeight="false" outlineLevel="0" collapsed="false">
      <c r="A7" s="7" t="s">
        <v>1020</v>
      </c>
      <c r="B7" s="14" t="s">
        <v>132</v>
      </c>
      <c r="C7" s="119" t="n">
        <f aca="false">1/(1+Assumptions!$C$122)^1</f>
        <v>0.888888888888889</v>
      </c>
      <c r="D7" s="119" t="n">
        <f aca="false">1/(1+Assumptions!$C$122)^2</f>
        <v>0.790123456790123</v>
      </c>
      <c r="E7" s="119" t="n">
        <f aca="false">1/(1+Assumptions!$C$122)^3</f>
        <v>0.702331961591221</v>
      </c>
      <c r="F7" s="119" t="n">
        <f aca="false">1/(1+Assumptions!$C$122)^4</f>
        <v>0.624295076969974</v>
      </c>
      <c r="G7" s="119" t="n">
        <f aca="false">1/(1+Assumptions!$C$122)^5</f>
        <v>0.554928957306644</v>
      </c>
      <c r="H7" s="119" t="n">
        <f aca="false">1/(1+Assumptions!$C$122)^6</f>
        <v>0.493270184272572</v>
      </c>
      <c r="I7" s="119" t="n">
        <f aca="false">1/(1+Assumptions!$C$122)^7</f>
        <v>0.438462386020064</v>
      </c>
      <c r="J7" s="119" t="n">
        <f aca="false">1/(1+Assumptions!$C$122)^8</f>
        <v>0.389744343128946</v>
      </c>
      <c r="K7" s="119" t="n">
        <f aca="false">1/(1+Assumptions!$C$122)^9</f>
        <v>0.346439416114619</v>
      </c>
      <c r="L7" s="119" t="n">
        <f aca="false">1/(1+Assumptions!$C$122)^10</f>
        <v>0.307946147657439</v>
      </c>
    </row>
    <row r="8" customFormat="false" ht="15" hidden="false" customHeight="false" outlineLevel="0" collapsed="false">
      <c r="A8" s="35" t="s">
        <v>1021</v>
      </c>
      <c r="B8" s="80" t="s">
        <v>162</v>
      </c>
      <c r="C8" s="67" t="n">
        <f aca="false">C6*C7</f>
        <v>-597.246097723714</v>
      </c>
      <c r="D8" s="67" t="n">
        <f aca="false">D6*D7</f>
        <v>242.152385358904</v>
      </c>
      <c r="E8" s="67" t="n">
        <f aca="false">E6*E7</f>
        <v>356.262057355783</v>
      </c>
      <c r="F8" s="67" t="n">
        <f aca="false">F6*F7</f>
        <v>891.508233223231</v>
      </c>
      <c r="G8" s="67" t="n">
        <f aca="false">G6*G7</f>
        <v>928.748294466502</v>
      </c>
      <c r="H8" s="67" t="n">
        <f aca="false">H6*H7</f>
        <v>981.177543724919</v>
      </c>
      <c r="I8" s="67" t="n">
        <f aca="false">I6*I7</f>
        <v>972.009145506873</v>
      </c>
      <c r="J8" s="67" t="n">
        <f aca="false">J6*J7</f>
        <v>943.018056907829</v>
      </c>
      <c r="K8" s="67" t="n">
        <f aca="false">K6*K7</f>
        <v>918.272022572488</v>
      </c>
      <c r="L8" s="67" t="n">
        <f aca="false">L6*L7</f>
        <v>891.756970514004</v>
      </c>
    </row>
    <row r="10" customFormat="false" ht="15" hidden="false" customHeight="false" outlineLevel="0" collapsed="false">
      <c r="A10" s="6" t="s">
        <v>1022</v>
      </c>
      <c r="C10" s="106" t="n">
        <f aca="false">SUM(C8:L8)</f>
        <v>6527.65861190682</v>
      </c>
    </row>
    <row r="12" customFormat="false" ht="15" hidden="false" customHeight="false" outlineLevel="0" collapsed="false">
      <c r="A12" s="19" t="s">
        <v>1023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</row>
    <row r="13" customFormat="false" ht="15" hidden="false" customHeight="false" outlineLevel="0" collapsed="false">
      <c r="A13" s="7" t="s">
        <v>1024</v>
      </c>
      <c r="C13" s="59" t="n">
        <f aca="false">L6</f>
        <v>2895.82115995814</v>
      </c>
      <c r="E13" s="14"/>
    </row>
    <row r="14" customFormat="false" ht="15" hidden="false" customHeight="false" outlineLevel="0" collapsed="false">
      <c r="A14" s="7" t="s">
        <v>1025</v>
      </c>
      <c r="C14" s="120" t="n">
        <f aca="false">Assumptions!$C$123</f>
        <v>0.05</v>
      </c>
      <c r="E14" s="14" t="s">
        <v>367</v>
      </c>
    </row>
    <row r="15" customFormat="false" ht="15" hidden="false" customHeight="false" outlineLevel="0" collapsed="false">
      <c r="A15" s="7" t="s">
        <v>1026</v>
      </c>
      <c r="C15" s="121" t="n">
        <f aca="false">Assumptions!$C$122</f>
        <v>0.125</v>
      </c>
      <c r="E15" s="14"/>
    </row>
    <row r="16" customFormat="false" ht="15" hidden="false" customHeight="false" outlineLevel="0" collapsed="false">
      <c r="A16" s="7" t="s">
        <v>1027</v>
      </c>
      <c r="C16" s="59" t="n">
        <f aca="false">C13*(1+C14)/(C15-C14)</f>
        <v>40541.4962394139</v>
      </c>
      <c r="E16" s="14" t="s">
        <v>1028</v>
      </c>
    </row>
    <row r="17" customFormat="false" ht="15" hidden="false" customHeight="false" outlineLevel="0" collapsed="false">
      <c r="A17" s="7" t="s">
        <v>1029</v>
      </c>
      <c r="C17" s="76" t="n">
        <f aca="false">L7</f>
        <v>0.307946147657439</v>
      </c>
      <c r="E17" s="14"/>
    </row>
    <row r="18" customFormat="false" ht="15" hidden="false" customHeight="false" outlineLevel="0" collapsed="false">
      <c r="A18" s="7" t="s">
        <v>1030</v>
      </c>
      <c r="C18" s="59" t="n">
        <f aca="false">C16*C17</f>
        <v>12484.5975871961</v>
      </c>
      <c r="E18" s="14"/>
    </row>
    <row r="19" customFormat="false" ht="15" hidden="false" customHeight="false" outlineLevel="0" collapsed="false">
      <c r="A19" s="6" t="s">
        <v>1031</v>
      </c>
      <c r="C19" s="106" t="n">
        <f aca="false">C10+C18</f>
        <v>19012.2561991029</v>
      </c>
      <c r="E19" s="14"/>
    </row>
    <row r="20" customFormat="false" ht="15" hidden="false" customHeight="false" outlineLevel="0" collapsed="false">
      <c r="A20" s="7" t="s">
        <v>1032</v>
      </c>
      <c r="C20" s="75" t="n">
        <f aca="false">C18/C19</f>
        <v>0.656660496074378</v>
      </c>
      <c r="E20" s="14" t="s">
        <v>1033</v>
      </c>
    </row>
    <row r="22" customFormat="false" ht="15" hidden="false" customHeight="false" outlineLevel="0" collapsed="false">
      <c r="A22" s="19" t="s">
        <v>1034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</row>
    <row r="23" customFormat="false" ht="15" hidden="false" customHeight="false" outlineLevel="0" collapsed="false">
      <c r="A23" s="7" t="s">
        <v>1035</v>
      </c>
      <c r="C23" s="59" t="n">
        <f aca="false">'P&amp;L'!L$20</f>
        <v>4213.83058231209</v>
      </c>
      <c r="E23" s="14"/>
    </row>
    <row r="24" customFormat="false" ht="15" hidden="false" customHeight="false" outlineLevel="0" collapsed="false">
      <c r="A24" s="7" t="s">
        <v>152</v>
      </c>
      <c r="C24" s="122" t="n">
        <f aca="false">Assumptions!$C$124</f>
        <v>13</v>
      </c>
      <c r="E24" s="14" t="s">
        <v>1036</v>
      </c>
    </row>
    <row r="25" customFormat="false" ht="15" hidden="false" customHeight="false" outlineLevel="0" collapsed="false">
      <c r="A25" s="7" t="s">
        <v>1027</v>
      </c>
      <c r="C25" s="59" t="n">
        <f aca="false">C23*C24</f>
        <v>54779.7975700572</v>
      </c>
      <c r="E25" s="14"/>
    </row>
    <row r="26" customFormat="false" ht="15" hidden="false" customHeight="false" outlineLevel="0" collapsed="false">
      <c r="A26" s="7" t="s">
        <v>1030</v>
      </c>
      <c r="C26" s="59" t="n">
        <f aca="false">C25*L7</f>
        <v>16869.2276311534</v>
      </c>
      <c r="E26" s="14"/>
    </row>
    <row r="27" customFormat="false" ht="15" hidden="false" customHeight="false" outlineLevel="0" collapsed="false">
      <c r="A27" s="6" t="s">
        <v>1037</v>
      </c>
      <c r="C27" s="106" t="n">
        <f aca="false">C10+C26</f>
        <v>23396.8862430603</v>
      </c>
      <c r="E27" s="14"/>
    </row>
    <row r="28" customFormat="false" ht="15" hidden="false" customHeight="false" outlineLevel="0" collapsed="false">
      <c r="A28" s="7" t="s">
        <v>1032</v>
      </c>
      <c r="C28" s="75" t="n">
        <f aca="false">C26/C27</f>
        <v>0.721003105110066</v>
      </c>
      <c r="E28" s="14"/>
    </row>
    <row r="30" customFormat="false" ht="15" hidden="false" customHeight="false" outlineLevel="0" collapsed="false">
      <c r="A30" s="19" t="s">
        <v>1038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</row>
    <row r="31" customFormat="false" ht="15" hidden="false" customHeight="false" outlineLevel="0" collapsed="false">
      <c r="A31" s="7" t="s">
        <v>1039</v>
      </c>
      <c r="C31" s="59" t="n">
        <f aca="false">C19</f>
        <v>19012.2561991029</v>
      </c>
      <c r="E31" s="14"/>
    </row>
    <row r="32" customFormat="false" ht="15" hidden="false" customHeight="false" outlineLevel="0" collapsed="false">
      <c r="A32" s="7" t="s">
        <v>1040</v>
      </c>
      <c r="C32" s="59" t="n">
        <f aca="false">C27</f>
        <v>23396.8862430603</v>
      </c>
      <c r="E32" s="14"/>
    </row>
    <row r="33" customFormat="false" ht="15" hidden="false" customHeight="false" outlineLevel="0" collapsed="false">
      <c r="A33" s="7" t="s">
        <v>1041</v>
      </c>
      <c r="C33" s="59" t="n">
        <f aca="false">AVERAGE(C19,C27)</f>
        <v>21204.5712210816</v>
      </c>
      <c r="E33" s="14"/>
    </row>
    <row r="34" customFormat="false" ht="15" hidden="false" customHeight="false" outlineLevel="0" collapsed="false">
      <c r="A34" s="7" t="s">
        <v>1042</v>
      </c>
      <c r="C34" s="59" t="n">
        <f aca="false">'Capex &amp; Funding'!$C$32-'Capex &amp; Funding'!$C$17</f>
        <v>7404.25572682439</v>
      </c>
      <c r="E34" s="14"/>
    </row>
    <row r="35" customFormat="false" ht="15" hidden="false" customHeight="false" outlineLevel="0" collapsed="false">
      <c r="A35" s="6" t="s">
        <v>1043</v>
      </c>
      <c r="C35" s="106" t="n">
        <f aca="false">C33-C34</f>
        <v>13800.3154942572</v>
      </c>
      <c r="E35" s="14" t="s">
        <v>1044</v>
      </c>
    </row>
    <row r="36" customFormat="false" ht="15" hidden="false" customHeight="false" outlineLevel="0" collapsed="false">
      <c r="A36" s="7" t="s">
        <v>1045</v>
      </c>
      <c r="C36" s="59" t="n">
        <f aca="false">'Capex &amp; Funding'!$C$25</f>
        <v>11077.5081811777</v>
      </c>
      <c r="E36" s="14"/>
    </row>
    <row r="37" customFormat="false" ht="15" hidden="false" customHeight="false" outlineLevel="0" collapsed="false">
      <c r="A37" s="7" t="s">
        <v>1046</v>
      </c>
      <c r="C37" s="43" t="n">
        <f aca="false">C33-C36</f>
        <v>10127.0630399039</v>
      </c>
      <c r="E37" s="14" t="s">
        <v>1047</v>
      </c>
    </row>
    <row r="38" customFormat="false" ht="15" hidden="false" customHeight="false" outlineLevel="0" collapsed="false">
      <c r="A38" s="7" t="s">
        <v>1048</v>
      </c>
      <c r="C38" s="75" t="n">
        <f aca="false">C37/C36</f>
        <v>0.91420045684202</v>
      </c>
      <c r="E38" s="14" t="s">
        <v>1049</v>
      </c>
    </row>
    <row r="39" customFormat="false" ht="15" hidden="false" customHeight="false" outlineLevel="0" collapsed="false">
      <c r="A39" s="7" t="s">
        <v>1050</v>
      </c>
      <c r="C39" s="59" t="n">
        <f aca="false">'Returns &amp; IRR'!$C$22</f>
        <v>12319.3780618826</v>
      </c>
      <c r="E39" s="14" t="s">
        <v>1051</v>
      </c>
    </row>
    <row r="41" customFormat="false" ht="15" hidden="false" customHeight="false" outlineLevel="0" collapsed="false">
      <c r="A41" s="8" t="s">
        <v>1052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</row>
    <row r="42" customFormat="false" ht="15" hidden="false" customHeight="false" outlineLevel="0" collapsed="false">
      <c r="A42" s="7" t="s">
        <v>1053</v>
      </c>
      <c r="C42" s="56" t="n">
        <v>0.068</v>
      </c>
      <c r="E42" s="14" t="s">
        <v>1054</v>
      </c>
    </row>
    <row r="43" customFormat="false" ht="15" hidden="false" customHeight="false" outlineLevel="0" collapsed="false">
      <c r="A43" s="7" t="s">
        <v>1055</v>
      </c>
      <c r="C43" s="56" t="n">
        <v>0.07</v>
      </c>
      <c r="E43" s="14"/>
    </row>
    <row r="44" customFormat="false" ht="15" hidden="false" customHeight="false" outlineLevel="0" collapsed="false">
      <c r="A44" s="7" t="s">
        <v>1056</v>
      </c>
      <c r="C44" s="66" t="n">
        <v>1.15</v>
      </c>
      <c r="E44" s="14"/>
    </row>
    <row r="45" customFormat="false" ht="15" hidden="false" customHeight="false" outlineLevel="0" collapsed="false">
      <c r="A45" s="7" t="s">
        <v>1057</v>
      </c>
      <c r="C45" s="56" t="n">
        <v>0.03</v>
      </c>
      <c r="E45" s="14" t="s">
        <v>1058</v>
      </c>
    </row>
    <row r="46" customFormat="false" ht="15" hidden="false" customHeight="false" outlineLevel="0" collapsed="false">
      <c r="A46" s="7" t="s">
        <v>1059</v>
      </c>
      <c r="C46" s="92" t="n">
        <f aca="false">C42+C44*C43+C45</f>
        <v>0.1785</v>
      </c>
      <c r="E46" s="14" t="s">
        <v>1060</v>
      </c>
    </row>
    <row r="47" customFormat="false" ht="15" hidden="false" customHeight="false" outlineLevel="0" collapsed="false">
      <c r="A47" s="7" t="s">
        <v>1061</v>
      </c>
      <c r="C47" s="121" t="n">
        <f aca="false">Assumptions!$C$106</f>
        <v>0.1075</v>
      </c>
      <c r="E47" s="14"/>
    </row>
    <row r="48" customFormat="false" ht="15" hidden="false" customHeight="false" outlineLevel="0" collapsed="false">
      <c r="A48" s="7" t="s">
        <v>1062</v>
      </c>
      <c r="C48" s="121" t="n">
        <f aca="false">C47*(1-Assumptions!$C$98)</f>
        <v>0.0804444</v>
      </c>
      <c r="E48" s="14"/>
    </row>
    <row r="49" customFormat="false" ht="15" hidden="false" customHeight="false" outlineLevel="0" collapsed="false">
      <c r="A49" s="7" t="s">
        <v>1063</v>
      </c>
      <c r="C49" s="56" t="n">
        <v>0.4</v>
      </c>
      <c r="E49" s="14" t="s">
        <v>1064</v>
      </c>
    </row>
    <row r="50" customFormat="false" ht="15" hidden="false" customHeight="false" outlineLevel="0" collapsed="false">
      <c r="A50" s="7" t="s">
        <v>1065</v>
      </c>
      <c r="C50" s="120" t="n">
        <f aca="false">1-C49</f>
        <v>0.6</v>
      </c>
      <c r="E50" s="14"/>
    </row>
    <row r="51" customFormat="false" ht="15" hidden="false" customHeight="false" outlineLevel="0" collapsed="false">
      <c r="A51" s="6" t="s">
        <v>1066</v>
      </c>
      <c r="C51" s="113" t="n">
        <f aca="false">C46*C49+C48*C50</f>
        <v>0.11966664</v>
      </c>
      <c r="E51" s="14"/>
    </row>
    <row r="52" customFormat="false" ht="15" hidden="false" customHeight="false" outlineLevel="0" collapsed="false">
      <c r="A52" s="6" t="s">
        <v>1067</v>
      </c>
      <c r="C52" s="121" t="n">
        <f aca="false">Assumptions!$C$122</f>
        <v>0.125</v>
      </c>
      <c r="E52" s="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O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5" min="2" style="0" width="18"/>
    <col collapsed="false" customWidth="true" hidden="false" outlineLevel="0" max="6" min="6" style="0" width="3"/>
    <col collapsed="false" customWidth="true" hidden="false" outlineLevel="0" max="7" min="7" style="0" width="60"/>
    <col collapsed="false" customWidth="true" hidden="false" outlineLevel="0" max="16" min="8" style="0" width="13"/>
  </cols>
  <sheetData>
    <row r="1" customFormat="false" ht="24" hidden="false" customHeight="true" outlineLevel="0" collapsed="false">
      <c r="A1" s="15" t="s">
        <v>1068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" hidden="false" customHeight="false" outlineLevel="0" collapsed="false">
      <c r="A2" s="16" t="s">
        <v>1069</v>
      </c>
    </row>
    <row r="4" customFormat="false" ht="27.75" hidden="false" customHeight="true" outlineLevel="0" collapsed="false">
      <c r="A4" s="21" t="s">
        <v>938</v>
      </c>
      <c r="B4" s="21" t="s">
        <v>123</v>
      </c>
      <c r="C4" s="21" t="s">
        <v>124</v>
      </c>
      <c r="D4" s="21" t="s">
        <v>125</v>
      </c>
      <c r="E4" s="21" t="s">
        <v>126</v>
      </c>
    </row>
    <row r="5" customFormat="false" ht="15" hidden="false" customHeight="false" outlineLevel="0" collapsed="false">
      <c r="A5" s="7" t="s">
        <v>1070</v>
      </c>
      <c r="B5" s="123" t="n">
        <v>11077.5081811777</v>
      </c>
      <c r="C5" s="123" t="n">
        <v>10750.8735764891</v>
      </c>
      <c r="D5" s="123" t="n">
        <v>11807.2353243425</v>
      </c>
      <c r="E5" s="123" t="n">
        <v>12594.4323473541</v>
      </c>
    </row>
    <row r="6" customFormat="false" ht="15" hidden="false" customHeight="false" outlineLevel="0" collapsed="false">
      <c r="A6" s="7" t="s">
        <v>1071</v>
      </c>
      <c r="B6" s="123" t="n">
        <v>7754.25572682439</v>
      </c>
      <c r="C6" s="123" t="n">
        <v>7525.61150354238</v>
      </c>
      <c r="D6" s="123" t="n">
        <v>8265.06472703978</v>
      </c>
      <c r="E6" s="123" t="n">
        <v>8816.1026431479</v>
      </c>
    </row>
    <row r="7" customFormat="false" ht="15" hidden="false" customHeight="false" outlineLevel="0" collapsed="false">
      <c r="A7" s="7" t="s">
        <v>1072</v>
      </c>
      <c r="B7" s="123" t="n">
        <v>5103.25245435331</v>
      </c>
      <c r="C7" s="123" t="n">
        <v>5005.26207294673</v>
      </c>
      <c r="D7" s="123" t="n">
        <v>5322.17059730276</v>
      </c>
      <c r="E7" s="123" t="n">
        <v>5558.32970420624</v>
      </c>
    </row>
    <row r="9" customFormat="false" ht="15" hidden="false" customHeight="false" outlineLevel="0" collapsed="false">
      <c r="A9" s="7" t="s">
        <v>1073</v>
      </c>
      <c r="B9" s="123" t="n">
        <v>3013.321464</v>
      </c>
      <c r="C9" s="123" t="n">
        <v>3751.6878699</v>
      </c>
      <c r="D9" s="123" t="n">
        <v>2250.97496544</v>
      </c>
      <c r="E9" s="123" t="n">
        <v>1789.5190157</v>
      </c>
    </row>
    <row r="10" customFormat="false" ht="15" hidden="false" customHeight="false" outlineLevel="0" collapsed="false">
      <c r="A10" s="7" t="s">
        <v>1074</v>
      </c>
      <c r="B10" s="123" t="n">
        <v>10439.458736271</v>
      </c>
      <c r="C10" s="123" t="n">
        <v>13180.2584891616</v>
      </c>
      <c r="D10" s="123" t="n">
        <v>7393.39514937009</v>
      </c>
      <c r="E10" s="123" t="n">
        <v>5754.53923880322</v>
      </c>
    </row>
    <row r="11" customFormat="false" ht="15" hidden="false" customHeight="false" outlineLevel="0" collapsed="false">
      <c r="A11" s="7" t="s">
        <v>1075</v>
      </c>
      <c r="B11" s="123" t="n">
        <v>15830.8165856815</v>
      </c>
      <c r="C11" s="123" t="n">
        <v>20303.8587215686</v>
      </c>
      <c r="D11" s="123" t="n">
        <v>10563.0850947745</v>
      </c>
      <c r="E11" s="123" t="n">
        <v>8059.65242241589</v>
      </c>
    </row>
    <row r="12" customFormat="false" ht="15" hidden="false" customHeight="false" outlineLevel="0" collapsed="false">
      <c r="A12" s="7" t="s">
        <v>1076</v>
      </c>
      <c r="B12" s="123" t="n">
        <v>2477.82306017938</v>
      </c>
      <c r="C12" s="123" t="n">
        <v>4565.79846278613</v>
      </c>
      <c r="D12" s="123" t="n">
        <v>203.764280172359</v>
      </c>
      <c r="E12" s="123" t="n">
        <v>-1023.05245027268</v>
      </c>
    </row>
    <row r="13" customFormat="false" ht="15" hidden="false" customHeight="false" outlineLevel="0" collapsed="false">
      <c r="A13" s="7" t="s">
        <v>1077</v>
      </c>
      <c r="B13" s="123" t="n">
        <v>4213.83058231209</v>
      </c>
      <c r="C13" s="123" t="n">
        <v>7681.2338488102</v>
      </c>
      <c r="D13" s="123" t="n">
        <v>165.200716427444</v>
      </c>
      <c r="E13" s="123" t="n">
        <v>-1906.12813229269</v>
      </c>
    </row>
    <row r="14" customFormat="false" ht="15" hidden="false" customHeight="false" outlineLevel="0" collapsed="false">
      <c r="A14" s="124" t="s">
        <v>1078</v>
      </c>
      <c r="B14" s="125" t="n">
        <v>0.237351679122059</v>
      </c>
      <c r="C14" s="125" t="n">
        <v>0.346411905846966</v>
      </c>
      <c r="D14" s="125" t="n">
        <v>0.0275603124215158</v>
      </c>
      <c r="E14" s="125" t="n">
        <v>-0.177781818459795</v>
      </c>
    </row>
    <row r="15" customFormat="false" ht="15" hidden="false" customHeight="false" outlineLevel="0" collapsed="false">
      <c r="A15" s="7" t="s">
        <v>1079</v>
      </c>
      <c r="B15" s="126" t="n">
        <v>0.266178978166128</v>
      </c>
      <c r="C15" s="126" t="n">
        <v>0.378313992140346</v>
      </c>
      <c r="D15" s="126" t="n">
        <v>0.0156394381892433</v>
      </c>
      <c r="E15" s="126" t="n">
        <v>-0.236502522986138</v>
      </c>
    </row>
    <row r="16" customFormat="false" ht="15" hidden="false" customHeight="false" outlineLevel="0" collapsed="false">
      <c r="A16" s="7" t="s">
        <v>1080</v>
      </c>
      <c r="B16" s="123" t="n">
        <v>965.840953174278</v>
      </c>
      <c r="C16" s="123" t="n">
        <v>2348.41714392075</v>
      </c>
      <c r="D16" s="123" t="n">
        <v>-1448.81808845724</v>
      </c>
      <c r="E16" s="123" t="n">
        <v>-2854.27459089465</v>
      </c>
    </row>
    <row r="17" customFormat="false" ht="15" hidden="false" customHeight="false" outlineLevel="0" collapsed="false">
      <c r="A17" s="7" t="s">
        <v>1081</v>
      </c>
      <c r="B17" s="123" t="n">
        <v>2513.35745325301</v>
      </c>
      <c r="C17" s="123" t="n">
        <v>5094.95265641676</v>
      </c>
      <c r="D17" s="123" t="n">
        <v>-691.206457357978</v>
      </c>
      <c r="E17" s="123" t="n">
        <v>-2793.40071359755</v>
      </c>
    </row>
    <row r="19" customFormat="false" ht="15" hidden="false" customHeight="false" outlineLevel="0" collapsed="false">
      <c r="A19" s="7" t="s">
        <v>1082</v>
      </c>
      <c r="B19" s="123" t="n">
        <v>2</v>
      </c>
      <c r="C19" s="123" t="n">
        <v>1</v>
      </c>
      <c r="D19" s="123" t="n">
        <v>4</v>
      </c>
      <c r="E19" s="127" t="s">
        <v>1083</v>
      </c>
    </row>
    <row r="20" customFormat="false" ht="15" hidden="false" customHeight="false" outlineLevel="0" collapsed="false">
      <c r="A20" s="7" t="s">
        <v>1084</v>
      </c>
      <c r="B20" s="123" t="n">
        <v>4</v>
      </c>
      <c r="C20" s="123" t="n">
        <v>2</v>
      </c>
      <c r="D20" s="127" t="s">
        <v>1083</v>
      </c>
      <c r="E20" s="127" t="s">
        <v>1083</v>
      </c>
    </row>
    <row r="21" customFormat="false" ht="15" hidden="false" customHeight="false" outlineLevel="0" collapsed="false">
      <c r="A21" s="7" t="s">
        <v>1085</v>
      </c>
      <c r="B21" s="126" t="n">
        <v>0.6984</v>
      </c>
      <c r="C21" s="126" t="n">
        <v>0.83226</v>
      </c>
      <c r="D21" s="126" t="n">
        <v>0.546304</v>
      </c>
      <c r="E21" s="126" t="n">
        <v>0.438828</v>
      </c>
    </row>
    <row r="22" customFormat="false" ht="15" hidden="false" customHeight="false" outlineLevel="0" collapsed="false">
      <c r="A22" s="7" t="s">
        <v>1086</v>
      </c>
      <c r="B22" s="123" t="n">
        <v>32169.4483939453</v>
      </c>
      <c r="C22" s="123" t="n">
        <v>35245.50724224</v>
      </c>
      <c r="D22" s="123" t="n">
        <v>27026.198578035</v>
      </c>
      <c r="E22" s="123" t="n">
        <v>24389.9866792828</v>
      </c>
    </row>
    <row r="23" customFormat="false" ht="15" hidden="false" customHeight="false" outlineLevel="0" collapsed="false">
      <c r="A23" s="7" t="s">
        <v>1087</v>
      </c>
      <c r="B23" s="126" t="n">
        <v>0.611245933705141</v>
      </c>
      <c r="C23" s="126" t="n">
        <v>0.551500291860013</v>
      </c>
      <c r="D23" s="126" t="n">
        <v>0.720747906538023</v>
      </c>
      <c r="E23" s="126" t="n">
        <v>0.787660438152651</v>
      </c>
    </row>
    <row r="25" customFormat="false" ht="15" hidden="false" customHeight="false" outlineLevel="0" collapsed="false">
      <c r="A25" s="124" t="s">
        <v>1088</v>
      </c>
      <c r="B25" s="128" t="n">
        <v>1.46136313211039</v>
      </c>
      <c r="C25" s="128" t="n">
        <v>2.51646879658905</v>
      </c>
      <c r="D25" s="128" t="n">
        <v>0.0372337000455693</v>
      </c>
      <c r="E25" s="128" t="n">
        <v>-1.04076707736263</v>
      </c>
    </row>
    <row r="26" customFormat="false" ht="15" hidden="false" customHeight="false" outlineLevel="0" collapsed="false">
      <c r="A26" s="7" t="s">
        <v>1089</v>
      </c>
      <c r="B26" s="129" t="n">
        <v>1.66200789609001</v>
      </c>
      <c r="C26" s="129" t="n">
        <v>2.91705508434866</v>
      </c>
      <c r="D26" s="129" t="n">
        <v>0.0860676626730661</v>
      </c>
      <c r="E26" s="129" t="n">
        <v>-0.717093476241252</v>
      </c>
    </row>
    <row r="27" customFormat="false" ht="15" hidden="false" customHeight="false" outlineLevel="0" collapsed="false">
      <c r="A27" s="124" t="s">
        <v>1090</v>
      </c>
      <c r="B27" s="130" t="n">
        <v>0</v>
      </c>
      <c r="C27" s="130" t="n">
        <v>0</v>
      </c>
      <c r="D27" s="130" t="n">
        <v>7</v>
      </c>
      <c r="E27" s="130" t="n">
        <v>7</v>
      </c>
    </row>
    <row r="28" customFormat="false" ht="15" hidden="false" customHeight="false" outlineLevel="0" collapsed="false">
      <c r="A28" s="7" t="s">
        <v>1091</v>
      </c>
      <c r="B28" s="123" t="n">
        <v>157.938160745102</v>
      </c>
      <c r="C28" s="123" t="n">
        <v>1383.55238009554</v>
      </c>
      <c r="D28" s="123" t="n">
        <v>-15769.450071223</v>
      </c>
      <c r="E28" s="123" t="n">
        <v>-29382.4985027704</v>
      </c>
    </row>
    <row r="30" customFormat="false" ht="15" hidden="false" customHeight="false" outlineLevel="0" collapsed="false">
      <c r="A30" s="124" t="s">
        <v>875</v>
      </c>
      <c r="B30" s="131" t="n">
        <v>0.221299053492476</v>
      </c>
      <c r="C30" s="131" t="n">
        <v>0.329107623094114</v>
      </c>
      <c r="D30" s="131" t="n">
        <v>-0.184932960610001</v>
      </c>
      <c r="E30" s="127" t="s">
        <v>1083</v>
      </c>
    </row>
    <row r="31" customFormat="false" ht="15" hidden="false" customHeight="false" outlineLevel="0" collapsed="false">
      <c r="A31" s="7" t="s">
        <v>1092</v>
      </c>
      <c r="B31" s="123" t="n">
        <v>12319.3780618826</v>
      </c>
      <c r="C31" s="123" t="n">
        <v>33578.7396425047</v>
      </c>
      <c r="D31" s="123" t="n">
        <v>-13303.7220766664</v>
      </c>
      <c r="E31" s="123" t="n">
        <v>-28021.2624031824</v>
      </c>
    </row>
    <row r="32" customFormat="false" ht="15" hidden="false" customHeight="false" outlineLevel="0" collapsed="false">
      <c r="A32" s="124" t="s">
        <v>893</v>
      </c>
      <c r="B32" s="131" t="n">
        <v>0.26910963037426</v>
      </c>
      <c r="C32" s="131" t="n">
        <v>0.432253488766674</v>
      </c>
      <c r="D32" s="127" t="s">
        <v>1083</v>
      </c>
      <c r="E32" s="127" t="s">
        <v>1083</v>
      </c>
    </row>
    <row r="33" customFormat="false" ht="15" hidden="false" customHeight="false" outlineLevel="0" collapsed="false">
      <c r="A33" s="7" t="s">
        <v>898</v>
      </c>
      <c r="B33" s="129" t="n">
        <v>12.3175312294513</v>
      </c>
      <c r="C33" s="129" t="n">
        <v>27.7730525363729</v>
      </c>
      <c r="D33" s="129" t="n">
        <v>-6.0423918387578</v>
      </c>
      <c r="E33" s="129" t="n">
        <v>-15.5274167406087</v>
      </c>
    </row>
    <row r="34" customFormat="false" ht="15" hidden="false" customHeight="false" outlineLevel="0" collapsed="false">
      <c r="A34" s="7" t="s">
        <v>1093</v>
      </c>
      <c r="B34" s="123" t="n">
        <v>54779.7975700572</v>
      </c>
      <c r="C34" s="123" t="n">
        <v>99856.0400345326</v>
      </c>
      <c r="D34" s="123" t="n">
        <v>2147.60931355677</v>
      </c>
      <c r="E34" s="123" t="n">
        <v>-24779.665719805</v>
      </c>
    </row>
    <row r="36" customFormat="false" ht="15" hidden="false" customHeight="false" outlineLevel="0" collapsed="false">
      <c r="A36" s="19" t="s">
        <v>1094</v>
      </c>
      <c r="B36" s="20"/>
      <c r="C36" s="20"/>
      <c r="D36" s="20"/>
      <c r="E36" s="20"/>
    </row>
    <row r="37" customFormat="false" ht="15" hidden="false" customHeight="false" outlineLevel="0" collapsed="false">
      <c r="A37" s="7" t="s">
        <v>1095</v>
      </c>
    </row>
    <row r="38" customFormat="false" ht="15" hidden="false" customHeight="false" outlineLevel="0" collapsed="false">
      <c r="A38" s="7" t="s">
        <v>1096</v>
      </c>
    </row>
    <row r="39" customFormat="false" ht="15" hidden="false" customHeight="false" outlineLevel="0" collapsed="false">
      <c r="A39" s="14"/>
    </row>
    <row r="40" customFormat="false" ht="15" hidden="false" customHeight="false" outlineLevel="0" collapsed="false">
      <c r="A40" s="7" t="s">
        <v>1097</v>
      </c>
    </row>
    <row r="41" customFormat="false" ht="15" hidden="false" customHeight="false" outlineLevel="0" collapsed="false">
      <c r="A41" s="7" t="s">
        <v>1098</v>
      </c>
    </row>
    <row r="42" customFormat="false" ht="15" hidden="false" customHeight="false" outlineLevel="0" collapsed="false">
      <c r="A42" s="14"/>
    </row>
    <row r="43" customFormat="false" ht="15" hidden="false" customHeight="false" outlineLevel="0" collapsed="false">
      <c r="A43" s="7" t="s">
        <v>1099</v>
      </c>
    </row>
    <row r="44" customFormat="false" ht="15" hidden="false" customHeight="false" outlineLevel="0" collapsed="false">
      <c r="A44" s="7" t="s">
        <v>1100</v>
      </c>
    </row>
    <row r="45" customFormat="false" ht="15" hidden="false" customHeight="false" outlineLevel="0" collapsed="false">
      <c r="A45" s="7" t="s">
        <v>1101</v>
      </c>
    </row>
    <row r="46" customFormat="false" ht="15" hidden="false" customHeight="false" outlineLevel="0" collapsed="false">
      <c r="A46" s="14"/>
    </row>
    <row r="47" customFormat="false" ht="15" hidden="false" customHeight="false" outlineLevel="0" collapsed="false">
      <c r="A47" s="7" t="s">
        <v>1102</v>
      </c>
    </row>
    <row r="48" customFormat="false" ht="15" hidden="false" customHeight="false" outlineLevel="0" collapsed="false">
      <c r="A48" s="7" t="s">
        <v>1103</v>
      </c>
    </row>
    <row r="49" customFormat="false" ht="15" hidden="false" customHeight="false" outlineLevel="0" collapsed="false">
      <c r="A49" s="7" t="s">
        <v>1104</v>
      </c>
    </row>
    <row r="50" customFormat="false" ht="15" hidden="false" customHeight="false" outlineLevel="0" collapsed="false">
      <c r="A50" s="14"/>
    </row>
    <row r="51" customFormat="false" ht="15" hidden="false" customHeight="false" outlineLevel="0" collapsed="false">
      <c r="A51" s="7" t="s">
        <v>1105</v>
      </c>
    </row>
    <row r="52" customFormat="false" ht="15" hidden="false" customHeight="false" outlineLevel="0" collapsed="false">
      <c r="A52" s="7" t="s">
        <v>1106</v>
      </c>
    </row>
    <row r="53" customFormat="false" ht="15" hidden="false" customHeight="false" outlineLevel="0" collapsed="false">
      <c r="A53" s="7" t="s">
        <v>1107</v>
      </c>
    </row>
    <row r="55" customFormat="false" ht="15" hidden="false" customHeight="false" outlineLevel="0" collapsed="false">
      <c r="A55" s="19" t="s">
        <v>1108</v>
      </c>
      <c r="B55" s="20"/>
      <c r="C55" s="20"/>
      <c r="D55" s="20"/>
      <c r="E55" s="20"/>
    </row>
    <row r="56" customFormat="false" ht="27.75" hidden="false" customHeight="true" outlineLevel="0" collapsed="false">
      <c r="A56" s="44" t="s">
        <v>938</v>
      </c>
      <c r="B56" s="44" t="s">
        <v>1109</v>
      </c>
      <c r="C56" s="44" t="s">
        <v>1110</v>
      </c>
      <c r="D56" s="44" t="s">
        <v>1111</v>
      </c>
    </row>
    <row r="57" customFormat="false" ht="15" hidden="false" customHeight="false" outlineLevel="0" collapsed="false">
      <c r="A57" s="7" t="s">
        <v>180</v>
      </c>
      <c r="B57" s="132" t="n">
        <v>0.909</v>
      </c>
      <c r="C57" s="132" t="n">
        <v>0.859</v>
      </c>
      <c r="D57" s="132" t="n">
        <v>0.965</v>
      </c>
    </row>
    <row r="58" customFormat="false" ht="15" hidden="false" customHeight="false" outlineLevel="0" collapsed="false">
      <c r="A58" s="7" t="s">
        <v>182</v>
      </c>
      <c r="B58" s="133" t="n">
        <v>47.95</v>
      </c>
      <c r="C58" s="133" t="n">
        <v>64.15</v>
      </c>
      <c r="D58" s="133" t="n">
        <v>26.55</v>
      </c>
    </row>
    <row r="59" customFormat="false" ht="15" hidden="false" customHeight="false" outlineLevel="0" collapsed="false">
      <c r="A59" s="7" t="s">
        <v>1074</v>
      </c>
      <c r="B59" s="123" t="n">
        <v>10439.458736271</v>
      </c>
      <c r="C59" s="123" t="n">
        <v>9988.38573809772</v>
      </c>
      <c r="D59" s="123" t="n">
        <v>10944.6604942252</v>
      </c>
    </row>
    <row r="60" customFormat="false" ht="15" hidden="false" customHeight="false" outlineLevel="0" collapsed="false">
      <c r="A60" s="7" t="s">
        <v>1076</v>
      </c>
      <c r="B60" s="123" t="n">
        <v>2477.82306017938</v>
      </c>
      <c r="C60" s="123" t="n">
        <v>2180.11488138498</v>
      </c>
      <c r="D60" s="123" t="n">
        <v>2811.25622042909</v>
      </c>
    </row>
    <row r="61" customFormat="false" ht="15" hidden="false" customHeight="false" outlineLevel="0" collapsed="false">
      <c r="A61" s="7" t="s">
        <v>1078</v>
      </c>
      <c r="B61" s="126" t="n">
        <v>0.237351679122059</v>
      </c>
      <c r="C61" s="126" t="n">
        <v>0.21826498681059</v>
      </c>
      <c r="D61" s="126" t="n">
        <v>0.25686098001052</v>
      </c>
    </row>
    <row r="62" customFormat="false" ht="15" hidden="false" customHeight="false" outlineLevel="0" collapsed="false">
      <c r="A62" s="7" t="s">
        <v>1112</v>
      </c>
      <c r="B62" s="123" t="n">
        <v>1016.47611999924</v>
      </c>
      <c r="C62" s="123" t="n">
        <v>1413.63851034283</v>
      </c>
      <c r="D62" s="123" t="n">
        <v>426.485848994223</v>
      </c>
    </row>
    <row r="63" customFormat="false" ht="15" hidden="false" customHeight="false" outlineLevel="0" collapsed="false">
      <c r="A63" s="7" t="s">
        <v>1113</v>
      </c>
      <c r="B63" s="129" t="n">
        <v>1.46136313211039</v>
      </c>
      <c r="C63" s="129" t="n">
        <v>1.2117057963614</v>
      </c>
      <c r="D63" s="129" t="n">
        <v>1.73176222662124</v>
      </c>
    </row>
    <row r="64" customFormat="false" ht="15" hidden="false" customHeight="false" outlineLevel="0" collapsed="false">
      <c r="A64" s="7" t="s">
        <v>893</v>
      </c>
      <c r="B64" s="78" t="n">
        <v>0.26910963037426</v>
      </c>
      <c r="C64" s="78" t="n">
        <v>0.232619109269535</v>
      </c>
      <c r="D64" s="78" t="n">
        <v>0.308923759527534</v>
      </c>
    </row>
    <row r="66" customFormat="false" ht="15" hidden="false" customHeight="false" outlineLevel="0" collapsed="false">
      <c r="A66" s="7" t="s">
        <v>1114</v>
      </c>
    </row>
    <row r="67" customFormat="false" ht="15" hidden="false" customHeight="false" outlineLevel="0" collapsed="false">
      <c r="A67" s="7" t="s">
        <v>1115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O1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16" min="3" style="0" width="13"/>
  </cols>
  <sheetData>
    <row r="1" customFormat="false" ht="24" hidden="false" customHeight="true" outlineLevel="0" collapsed="false">
      <c r="A1" s="15" t="s">
        <v>1116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" hidden="false" customHeight="false" outlineLevel="0" collapsed="false">
      <c r="A2" s="16" t="s">
        <v>1117</v>
      </c>
    </row>
    <row r="4" customFormat="false" ht="15" hidden="false" customHeight="false" outlineLevel="0" collapsed="false">
      <c r="A4" s="19" t="s">
        <v>1118</v>
      </c>
      <c r="B4" s="20"/>
      <c r="C4" s="20"/>
      <c r="D4" s="20"/>
      <c r="E4" s="20"/>
      <c r="F4" s="20"/>
      <c r="G4" s="20"/>
      <c r="H4" s="20"/>
    </row>
    <row r="5" customFormat="false" ht="15" hidden="false" customHeight="false" outlineLevel="0" collapsed="false">
      <c r="A5" s="14" t="s">
        <v>1119</v>
      </c>
    </row>
    <row r="6" customFormat="false" ht="30" hidden="false" customHeight="true" outlineLevel="0" collapsed="false">
      <c r="A6" s="44" t="s">
        <v>1120</v>
      </c>
      <c r="B6" s="134" t="n">
        <v>22500</v>
      </c>
      <c r="C6" s="134" t="n">
        <v>24500</v>
      </c>
      <c r="D6" s="134" t="n">
        <v>26500</v>
      </c>
      <c r="E6" s="134" t="n">
        <v>28500</v>
      </c>
      <c r="F6" s="134" t="n">
        <v>30500</v>
      </c>
    </row>
    <row r="7" customFormat="false" ht="15" hidden="false" customHeight="false" outlineLevel="0" collapsed="false">
      <c r="A7" s="135" t="n">
        <v>0.6</v>
      </c>
      <c r="B7" s="126" t="n">
        <v>0.0292154673437835</v>
      </c>
      <c r="C7" s="126" t="n">
        <v>0.112797020606058</v>
      </c>
      <c r="D7" s="126" t="n">
        <v>0.168613408248348</v>
      </c>
      <c r="E7" s="126" t="n">
        <v>0.211396931600757</v>
      </c>
      <c r="F7" s="126" t="n">
        <v>0.247826067678216</v>
      </c>
    </row>
    <row r="8" customFormat="false" ht="15" hidden="false" customHeight="false" outlineLevel="0" collapsed="false">
      <c r="A8" s="135" t="n">
        <v>0.64</v>
      </c>
      <c r="B8" s="126" t="n">
        <v>0.0950344997976117</v>
      </c>
      <c r="C8" s="126" t="n">
        <v>0.159818957292146</v>
      </c>
      <c r="D8" s="126" t="n">
        <v>0.206792545975804</v>
      </c>
      <c r="E8" s="126" t="n">
        <v>0.246123849051901</v>
      </c>
      <c r="F8" s="126" t="n">
        <v>0.280346267869072</v>
      </c>
    </row>
    <row r="9" customFormat="false" ht="15" hidden="false" customHeight="false" outlineLevel="0" collapsed="false">
      <c r="A9" s="135" t="n">
        <v>0.68</v>
      </c>
      <c r="B9" s="126" t="n">
        <v>0.143829296841932</v>
      </c>
      <c r="C9" s="126" t="n">
        <v>0.19659056819105</v>
      </c>
      <c r="D9" s="126" t="n">
        <v>0.239794690549934</v>
      </c>
      <c r="E9" s="126" t="n">
        <v>0.276815151238497</v>
      </c>
      <c r="F9" s="126" t="n">
        <v>0.309590282081808</v>
      </c>
    </row>
    <row r="10" customFormat="false" ht="15" hidden="false" customHeight="false" outlineLevel="0" collapsed="false">
      <c r="A10" s="135" t="n">
        <v>0.72</v>
      </c>
      <c r="B10" s="126" t="n">
        <v>0.180044806996284</v>
      </c>
      <c r="C10" s="126" t="n">
        <v>0.228455132429826</v>
      </c>
      <c r="D10" s="126" t="n">
        <v>0.26910963037426</v>
      </c>
      <c r="E10" s="126" t="n">
        <v>0.304501743567334</v>
      </c>
      <c r="F10" s="126" t="n">
        <v>0.336137392304227</v>
      </c>
    </row>
    <row r="11" customFormat="false" ht="15" hidden="false" customHeight="false" outlineLevel="0" collapsed="false">
      <c r="A11" s="135" t="n">
        <v>0.76</v>
      </c>
      <c r="B11" s="126" t="n">
        <v>0.211396931600757</v>
      </c>
      <c r="C11" s="126" t="n">
        <v>0.256741121065397</v>
      </c>
      <c r="D11" s="126" t="n">
        <v>0.295529996312962</v>
      </c>
      <c r="E11" s="126" t="n">
        <v>0.329790505408983</v>
      </c>
      <c r="F11" s="126" t="n">
        <v>0.360816465886182</v>
      </c>
    </row>
    <row r="12" customFormat="false" ht="15" hidden="false" customHeight="false" outlineLevel="0" collapsed="false">
      <c r="A12" s="135" t="n">
        <v>0.8</v>
      </c>
      <c r="B12" s="126" t="n">
        <v>0.239212276027911</v>
      </c>
      <c r="C12" s="126" t="n">
        <v>0.282346334555859</v>
      </c>
      <c r="D12" s="126" t="n">
        <v>0.319836671059329</v>
      </c>
      <c r="E12" s="126" t="n">
        <v>0.353361917169605</v>
      </c>
      <c r="F12" s="126" t="n">
        <v>0.383742041535697</v>
      </c>
    </row>
    <row r="15" customFormat="false" ht="15" hidden="false" customHeight="false" outlineLevel="0" collapsed="false">
      <c r="A15" s="19" t="s">
        <v>1121</v>
      </c>
      <c r="B15" s="20"/>
      <c r="C15" s="20"/>
      <c r="D15" s="20"/>
      <c r="E15" s="20"/>
      <c r="F15" s="20"/>
      <c r="G15" s="20"/>
      <c r="H15" s="20"/>
    </row>
    <row r="16" customFormat="false" ht="15" hidden="false" customHeight="false" outlineLevel="0" collapsed="false">
      <c r="A16" s="14" t="s">
        <v>1122</v>
      </c>
    </row>
    <row r="17" customFormat="false" ht="30" hidden="false" customHeight="true" outlineLevel="0" collapsed="false">
      <c r="A17" s="44" t="s">
        <v>1120</v>
      </c>
      <c r="B17" s="134" t="n">
        <v>22500</v>
      </c>
      <c r="C17" s="134" t="n">
        <v>24500</v>
      </c>
      <c r="D17" s="134" t="n">
        <v>26500</v>
      </c>
      <c r="E17" s="134" t="n">
        <v>28500</v>
      </c>
      <c r="F17" s="134" t="n">
        <v>30500</v>
      </c>
    </row>
    <row r="18" customFormat="false" ht="15" hidden="false" customHeight="false" outlineLevel="0" collapsed="false">
      <c r="A18" s="135" t="n">
        <v>0.6</v>
      </c>
      <c r="B18" s="129" t="n">
        <v>0.43117232320216</v>
      </c>
      <c r="C18" s="129" t="n">
        <v>0.652718733720059</v>
      </c>
      <c r="D18" s="129" t="n">
        <v>0.874265144237958</v>
      </c>
      <c r="E18" s="129" t="n">
        <v>1.09581155475586</v>
      </c>
      <c r="F18" s="129" t="n">
        <v>1.31735796527376</v>
      </c>
    </row>
    <row r="19" customFormat="false" ht="15" hidden="false" customHeight="false" outlineLevel="0" collapsed="false">
      <c r="A19" s="135" t="n">
        <v>0.64</v>
      </c>
      <c r="B19" s="129" t="n">
        <v>0.597332131090584</v>
      </c>
      <c r="C19" s="129" t="n">
        <v>0.833648302309677</v>
      </c>
      <c r="D19" s="129" t="n">
        <v>1.06996447352877</v>
      </c>
      <c r="E19" s="129" t="n">
        <v>1.30628064474786</v>
      </c>
      <c r="F19" s="129" t="n">
        <v>1.54259681596695</v>
      </c>
    </row>
    <row r="20" customFormat="false" ht="15" hidden="false" customHeight="false" outlineLevel="0" collapsed="false">
      <c r="A20" s="135" t="n">
        <v>0.68</v>
      </c>
      <c r="B20" s="129" t="n">
        <v>0.763491938979009</v>
      </c>
      <c r="C20" s="129" t="n">
        <v>1.0145778708993</v>
      </c>
      <c r="D20" s="129" t="n">
        <v>1.26566380281958</v>
      </c>
      <c r="E20" s="129" t="n">
        <v>1.51674973473987</v>
      </c>
      <c r="F20" s="129" t="n">
        <v>1.68586454956531</v>
      </c>
    </row>
    <row r="21" customFormat="false" ht="15" hidden="false" customHeight="false" outlineLevel="0" collapsed="false">
      <c r="A21" s="135" t="n">
        <v>0.72</v>
      </c>
      <c r="B21" s="129" t="n">
        <v>0.929651746867433</v>
      </c>
      <c r="C21" s="129" t="n">
        <v>1.19550743948891</v>
      </c>
      <c r="D21" s="129" t="n">
        <v>1.46136313211039</v>
      </c>
      <c r="E21" s="129" t="n">
        <v>1.68679140276055</v>
      </c>
      <c r="F21" s="129" t="n">
        <v>1.85625795419265</v>
      </c>
    </row>
    <row r="22" customFormat="false" ht="15" hidden="false" customHeight="false" outlineLevel="0" collapsed="false">
      <c r="A22" s="135" t="n">
        <v>0.76</v>
      </c>
      <c r="B22" s="129" t="n">
        <v>1.09581155475586</v>
      </c>
      <c r="C22" s="129" t="n">
        <v>1.37643700807853</v>
      </c>
      <c r="D22" s="129" t="n">
        <v>1.6570624614012</v>
      </c>
      <c r="E22" s="129" t="n">
        <v>1.81435408117141</v>
      </c>
      <c r="F22" s="129" t="n">
        <v>1.93450927935959</v>
      </c>
    </row>
    <row r="23" customFormat="false" ht="15" hidden="false" customHeight="false" outlineLevel="0" collapsed="false">
      <c r="A23" s="135" t="n">
        <v>0.8</v>
      </c>
      <c r="B23" s="129" t="n">
        <v>1.26197136264428</v>
      </c>
      <c r="C23" s="129" t="n">
        <v>1.55736657666815</v>
      </c>
      <c r="D23" s="129" t="n">
        <v>1.75010147587218</v>
      </c>
      <c r="E23" s="129" t="n">
        <v>1.89417529070919</v>
      </c>
      <c r="F23" s="129" t="n">
        <v>2.1002767785521</v>
      </c>
    </row>
    <row r="26" customFormat="false" ht="15" hidden="false" customHeight="false" outlineLevel="0" collapsed="false">
      <c r="A26" s="19" t="s">
        <v>1123</v>
      </c>
      <c r="B26" s="20"/>
      <c r="C26" s="20"/>
      <c r="D26" s="20"/>
      <c r="E26" s="20"/>
      <c r="F26" s="20"/>
      <c r="G26" s="20"/>
      <c r="H26" s="20"/>
    </row>
    <row r="27" customFormat="false" ht="15" hidden="false" customHeight="false" outlineLevel="0" collapsed="false">
      <c r="A27" s="14" t="s">
        <v>1124</v>
      </c>
    </row>
    <row r="28" customFormat="false" ht="30" hidden="false" customHeight="true" outlineLevel="0" collapsed="false">
      <c r="A28" s="44" t="s">
        <v>1125</v>
      </c>
      <c r="B28" s="136" t="n">
        <v>0.095</v>
      </c>
      <c r="C28" s="136" t="n">
        <v>0.1025</v>
      </c>
      <c r="D28" s="136" t="n">
        <v>0.1075</v>
      </c>
      <c r="E28" s="136" t="n">
        <v>0.115</v>
      </c>
      <c r="F28" s="136" t="n">
        <v>0.125</v>
      </c>
    </row>
    <row r="29" customFormat="false" ht="15" hidden="false" customHeight="false" outlineLevel="0" collapsed="false">
      <c r="A29" s="135" t="n">
        <v>0.6</v>
      </c>
      <c r="B29" s="126" t="n">
        <v>0.176875447762359</v>
      </c>
      <c r="C29" s="126" t="n">
        <v>0.171926078927231</v>
      </c>
      <c r="D29" s="126" t="n">
        <v>0.168613408248348</v>
      </c>
      <c r="E29" s="126" t="n">
        <v>0.163625522817301</v>
      </c>
      <c r="F29" s="126" t="n">
        <v>0.156999296990421</v>
      </c>
    </row>
    <row r="30" customFormat="false" ht="15" hidden="false" customHeight="false" outlineLevel="0" collapsed="false">
      <c r="A30" s="135" t="n">
        <v>0.64</v>
      </c>
      <c r="B30" s="126" t="n">
        <v>0.214660352829924</v>
      </c>
      <c r="C30" s="126" t="n">
        <v>0.209933293332551</v>
      </c>
      <c r="D30" s="126" t="n">
        <v>0.206792545975804</v>
      </c>
      <c r="E30" s="126" t="n">
        <v>0.202069451406624</v>
      </c>
      <c r="F30" s="126" t="n">
        <v>0.195739030329878</v>
      </c>
    </row>
    <row r="31" customFormat="false" ht="15" hidden="false" customHeight="false" outlineLevel="0" collapsed="false">
      <c r="A31" s="135" t="n">
        <v>0.68</v>
      </c>
      <c r="B31" s="126" t="n">
        <v>0.247382421428893</v>
      </c>
      <c r="C31" s="126" t="n">
        <v>0.242822822934295</v>
      </c>
      <c r="D31" s="126" t="n">
        <v>0.239794690549934</v>
      </c>
      <c r="E31" s="126" t="n">
        <v>0.2352518399357</v>
      </c>
      <c r="F31" s="126" t="n">
        <v>0.229137420433153</v>
      </c>
    </row>
    <row r="32" customFormat="false" ht="15" hidden="false" customHeight="false" outlineLevel="0" collapsed="false">
      <c r="A32" s="135" t="n">
        <v>0.72</v>
      </c>
      <c r="B32" s="126" t="n">
        <v>0.276464247590593</v>
      </c>
      <c r="C32" s="126" t="n">
        <v>0.2720443695619</v>
      </c>
      <c r="D32" s="126" t="n">
        <v>0.26910963037426</v>
      </c>
      <c r="E32" s="126" t="n">
        <v>0.264628452863008</v>
      </c>
      <c r="F32" s="126" t="n">
        <v>0.258688107157332</v>
      </c>
    </row>
    <row r="33" customFormat="false" ht="15" hidden="false" customHeight="false" outlineLevel="0" collapsed="false">
      <c r="A33" s="135" t="n">
        <v>0.76</v>
      </c>
      <c r="B33" s="126" t="n">
        <v>0.302858513563297</v>
      </c>
      <c r="C33" s="126" t="n">
        <v>0.298453413860534</v>
      </c>
      <c r="D33" s="126" t="n">
        <v>0.295529996312962</v>
      </c>
      <c r="E33" s="126" t="n">
        <v>0.291164315224614</v>
      </c>
      <c r="F33" s="126" t="n">
        <v>0.285378594612439</v>
      </c>
    </row>
    <row r="34" customFormat="false" ht="15" hidden="false" customHeight="false" outlineLevel="0" collapsed="false">
      <c r="A34" s="135" t="n">
        <v>0.8</v>
      </c>
      <c r="B34" s="126" t="n">
        <v>0.326976709250448</v>
      </c>
      <c r="C34" s="126" t="n">
        <v>0.322685065223504</v>
      </c>
      <c r="D34" s="126" t="n">
        <v>0.319836671059329</v>
      </c>
      <c r="E34" s="126" t="n">
        <v>0.315582650397073</v>
      </c>
      <c r="F34" s="126" t="n">
        <v>0.309839435944605</v>
      </c>
    </row>
    <row r="37" customFormat="false" ht="15" hidden="false" customHeight="false" outlineLevel="0" collapsed="false">
      <c r="A37" s="19" t="s">
        <v>1126</v>
      </c>
      <c r="B37" s="20"/>
      <c r="C37" s="20"/>
      <c r="D37" s="20"/>
      <c r="E37" s="20"/>
      <c r="F37" s="20"/>
      <c r="G37" s="20"/>
      <c r="H37" s="20"/>
    </row>
    <row r="38" customFormat="false" ht="30" hidden="false" customHeight="true" outlineLevel="0" collapsed="false">
      <c r="A38" s="44" t="s">
        <v>1125</v>
      </c>
      <c r="B38" s="136" t="n">
        <v>0.095</v>
      </c>
      <c r="C38" s="136" t="n">
        <v>0.1025</v>
      </c>
      <c r="D38" s="136" t="n">
        <v>0.1075</v>
      </c>
      <c r="E38" s="136" t="n">
        <v>0.115</v>
      </c>
      <c r="F38" s="136" t="n">
        <v>0.125</v>
      </c>
    </row>
    <row r="39" customFormat="false" ht="15" hidden="false" customHeight="false" outlineLevel="0" collapsed="false">
      <c r="A39" s="135" t="n">
        <v>0.6</v>
      </c>
      <c r="B39" s="129" t="n">
        <v>0.949809749011433</v>
      </c>
      <c r="C39" s="129" t="n">
        <v>0.903104063143486</v>
      </c>
      <c r="D39" s="129" t="n">
        <v>0.874265144237958</v>
      </c>
      <c r="E39" s="129" t="n">
        <v>0.834064229229095</v>
      </c>
      <c r="F39" s="129" t="n">
        <v>0.785483040719073</v>
      </c>
    </row>
    <row r="40" customFormat="false" ht="15" hidden="false" customHeight="false" outlineLevel="0" collapsed="false">
      <c r="A40" s="135" t="n">
        <v>0.64</v>
      </c>
      <c r="B40" s="129" t="n">
        <v>1.16241931266667</v>
      </c>
      <c r="C40" s="129" t="n">
        <v>1.10525882203078</v>
      </c>
      <c r="D40" s="129" t="n">
        <v>1.06996447352877</v>
      </c>
      <c r="E40" s="129" t="n">
        <v>1.02076481007847</v>
      </c>
      <c r="F40" s="129" t="n">
        <v>0.961308996095592</v>
      </c>
    </row>
    <row r="41" customFormat="false" ht="15" hidden="false" customHeight="false" outlineLevel="0" collapsed="false">
      <c r="A41" s="135" t="n">
        <v>0.68</v>
      </c>
      <c r="B41" s="129" t="n">
        <v>1.3750288763219</v>
      </c>
      <c r="C41" s="129" t="n">
        <v>1.30741358091807</v>
      </c>
      <c r="D41" s="129" t="n">
        <v>1.26566380281958</v>
      </c>
      <c r="E41" s="129" t="n">
        <v>1.20746539092785</v>
      </c>
      <c r="F41" s="129" t="n">
        <v>1.13713495147211</v>
      </c>
    </row>
    <row r="42" customFormat="false" ht="15" hidden="false" customHeight="false" outlineLevel="0" collapsed="false">
      <c r="A42" s="135" t="n">
        <v>0.72</v>
      </c>
      <c r="B42" s="129" t="n">
        <v>1.58763843997713</v>
      </c>
      <c r="C42" s="129" t="n">
        <v>1.50956833980536</v>
      </c>
      <c r="D42" s="129" t="n">
        <v>1.46136313211039</v>
      </c>
      <c r="E42" s="129" t="n">
        <v>1.39416597177723</v>
      </c>
      <c r="F42" s="129" t="n">
        <v>1.31296090684863</v>
      </c>
    </row>
    <row r="43" customFormat="false" ht="15" hidden="false" customHeight="false" outlineLevel="0" collapsed="false">
      <c r="A43" s="135" t="n">
        <v>0.76</v>
      </c>
      <c r="B43" s="129" t="n">
        <v>1.68424117872742</v>
      </c>
      <c r="C43" s="129" t="n">
        <v>1.68677795271664</v>
      </c>
      <c r="D43" s="129" t="n">
        <v>1.6570624614012</v>
      </c>
      <c r="E43" s="129" t="n">
        <v>1.5808665526266</v>
      </c>
      <c r="F43" s="129" t="n">
        <v>1.48878686222515</v>
      </c>
    </row>
    <row r="44" customFormat="false" ht="15" hidden="false" customHeight="false" outlineLevel="0" collapsed="false">
      <c r="A44" s="135" t="n">
        <v>0.8</v>
      </c>
      <c r="B44" s="129" t="n">
        <v>1.83152903088577</v>
      </c>
      <c r="C44" s="129" t="n">
        <v>1.781768557249</v>
      </c>
      <c r="D44" s="129" t="n">
        <v>1.75010147587218</v>
      </c>
      <c r="E44" s="129" t="n">
        <v>1.70470085278588</v>
      </c>
      <c r="F44" s="129" t="n">
        <v>1.66461281760167</v>
      </c>
    </row>
    <row r="47" customFormat="false" ht="15" hidden="false" customHeight="false" outlineLevel="0" collapsed="false">
      <c r="A47" s="19" t="s">
        <v>1127</v>
      </c>
      <c r="B47" s="20"/>
      <c r="C47" s="20"/>
      <c r="D47" s="20"/>
      <c r="E47" s="20"/>
      <c r="F47" s="20"/>
      <c r="G47" s="20"/>
      <c r="H47" s="20"/>
    </row>
    <row r="48" customFormat="false" ht="15" hidden="false" customHeight="false" outlineLevel="0" collapsed="false">
      <c r="A48" s="14" t="s">
        <v>1128</v>
      </c>
    </row>
    <row r="49" customFormat="false" ht="30" hidden="false" customHeight="true" outlineLevel="0" collapsed="false">
      <c r="A49" s="44" t="s">
        <v>1129</v>
      </c>
      <c r="B49" s="137" t="n">
        <v>-0.05</v>
      </c>
      <c r="C49" s="137" t="n">
        <v>0</v>
      </c>
      <c r="D49" s="137" t="n">
        <v>0.05</v>
      </c>
      <c r="E49" s="137" t="n">
        <v>0.1</v>
      </c>
      <c r="F49" s="137" t="n">
        <v>0.15</v>
      </c>
    </row>
    <row r="50" customFormat="false" ht="15" hidden="false" customHeight="false" outlineLevel="0" collapsed="false">
      <c r="A50" s="135" t="n">
        <v>0.205</v>
      </c>
      <c r="B50" s="126" t="n">
        <v>0.300316790204124</v>
      </c>
      <c r="C50" s="126" t="n">
        <v>0.293237914477459</v>
      </c>
      <c r="D50" s="126" t="n">
        <v>0.286357494010599</v>
      </c>
      <c r="E50" s="126" t="n">
        <v>0.279661935748891</v>
      </c>
      <c r="F50" s="126" t="n">
        <v>0.273138863476288</v>
      </c>
    </row>
    <row r="51" customFormat="false" ht="15" hidden="false" customHeight="false" outlineLevel="0" collapsed="false">
      <c r="A51" s="135" t="n">
        <v>0.215</v>
      </c>
      <c r="B51" s="126" t="n">
        <v>0.290847090389889</v>
      </c>
      <c r="C51" s="126" t="n">
        <v>0.283803525087569</v>
      </c>
      <c r="D51" s="126" t="n">
        <v>0.276952637321347</v>
      </c>
      <c r="E51" s="126" t="n">
        <v>0.270264025769802</v>
      </c>
      <c r="F51" s="126" t="n">
        <v>0.263664282451327</v>
      </c>
    </row>
    <row r="52" customFormat="false" ht="15" hidden="false" customHeight="false" outlineLevel="0" collapsed="false">
      <c r="A52" s="135" t="n">
        <v>0.23</v>
      </c>
      <c r="B52" s="126" t="n">
        <v>0.276111135820838</v>
      </c>
      <c r="C52" s="126" t="n">
        <v>0.26910963037426</v>
      </c>
      <c r="D52" s="126" t="n">
        <v>0.262191686148481</v>
      </c>
      <c r="E52" s="126" t="n">
        <v>0.255450561800944</v>
      </c>
      <c r="F52" s="126" t="n">
        <v>0.248874738049972</v>
      </c>
    </row>
    <row r="53" customFormat="false" ht="15" hidden="false" customHeight="false" outlineLevel="0" collapsed="false">
      <c r="A53" s="135" t="n">
        <v>0.245</v>
      </c>
      <c r="B53" s="126" t="n">
        <v>0.260562079401279</v>
      </c>
      <c r="C53" s="126" t="n">
        <v>0.253487621847489</v>
      </c>
      <c r="D53" s="126" t="n">
        <v>0.246594244770404</v>
      </c>
      <c r="E53" s="126" t="n">
        <v>0.239869402100385</v>
      </c>
      <c r="F53" s="126" t="n">
        <v>0.233270051672525</v>
      </c>
    </row>
    <row r="54" customFormat="false" ht="15" hidden="false" customHeight="false" outlineLevel="0" collapsed="false">
      <c r="A54" s="135" t="n">
        <v>0.26</v>
      </c>
      <c r="B54" s="126" t="n">
        <v>0.244062908220667</v>
      </c>
      <c r="C54" s="126" t="n">
        <v>0.237004194126212</v>
      </c>
      <c r="D54" s="126" t="n">
        <v>0.230078261594008</v>
      </c>
      <c r="E54" s="126" t="n">
        <v>0.22326543586596</v>
      </c>
      <c r="F54" s="126" t="n">
        <v>0.216605727834667</v>
      </c>
    </row>
    <row r="57" customFormat="false" ht="15" hidden="false" customHeight="false" outlineLevel="0" collapsed="false">
      <c r="A57" s="19" t="s">
        <v>1130</v>
      </c>
      <c r="B57" s="20"/>
      <c r="C57" s="20"/>
      <c r="D57" s="20"/>
      <c r="E57" s="20"/>
      <c r="F57" s="20"/>
      <c r="G57" s="20"/>
      <c r="H57" s="20"/>
    </row>
    <row r="58" customFormat="false" ht="30" hidden="false" customHeight="true" outlineLevel="0" collapsed="false">
      <c r="A58" s="44" t="s">
        <v>1129</v>
      </c>
      <c r="B58" s="137" t="n">
        <v>-0.05</v>
      </c>
      <c r="C58" s="137" t="n">
        <v>0</v>
      </c>
      <c r="D58" s="137" t="n">
        <v>0.05</v>
      </c>
      <c r="E58" s="137" t="n">
        <v>0.1</v>
      </c>
      <c r="F58" s="137" t="n">
        <v>0.15</v>
      </c>
    </row>
    <row r="59" customFormat="false" ht="15" hidden="false" customHeight="false" outlineLevel="0" collapsed="false">
      <c r="A59" s="135" t="n">
        <v>0.205</v>
      </c>
      <c r="B59" s="129" t="n">
        <v>1.70716402760877</v>
      </c>
      <c r="C59" s="129" t="n">
        <v>1.63384361758107</v>
      </c>
      <c r="D59" s="129" t="n">
        <v>1.56632711388246</v>
      </c>
      <c r="E59" s="129" t="n">
        <v>1.50416923851264</v>
      </c>
      <c r="F59" s="129" t="n">
        <v>1.44675638872916</v>
      </c>
    </row>
    <row r="60" customFormat="false" ht="15" hidden="false" customHeight="false" outlineLevel="0" collapsed="false">
      <c r="A60" s="135" t="n">
        <v>0.215</v>
      </c>
      <c r="B60" s="129" t="n">
        <v>1.6353428491923</v>
      </c>
      <c r="C60" s="129" t="n">
        <v>1.5648514233928</v>
      </c>
      <c r="D60" s="129" t="n">
        <v>1.50018593412663</v>
      </c>
      <c r="E60" s="129" t="n">
        <v>1.44065279478522</v>
      </c>
      <c r="F60" s="129" t="n">
        <v>1.38566431318395</v>
      </c>
    </row>
    <row r="61" customFormat="false" ht="15" hidden="false" customHeight="false" outlineLevel="0" collapsed="false">
      <c r="A61" s="135" t="n">
        <v>0.23</v>
      </c>
      <c r="B61" s="129" t="n">
        <v>1.52719274970433</v>
      </c>
      <c r="C61" s="129" t="n">
        <v>1.46136313211039</v>
      </c>
      <c r="D61" s="129" t="n">
        <v>1.4009741644929</v>
      </c>
      <c r="E61" s="129" t="n">
        <v>1.3453781291941</v>
      </c>
      <c r="F61" s="129" t="n">
        <v>1.29402619986614</v>
      </c>
    </row>
    <row r="62" customFormat="false" ht="15" hidden="false" customHeight="false" outlineLevel="0" collapsed="false">
      <c r="A62" s="135" t="n">
        <v>0.245</v>
      </c>
      <c r="B62" s="129" t="n">
        <v>1.41904265021637</v>
      </c>
      <c r="C62" s="129" t="n">
        <v>1.35787484082799</v>
      </c>
      <c r="D62" s="129" t="n">
        <v>1.30176239485917</v>
      </c>
      <c r="E62" s="129" t="n">
        <v>1.25010346360297</v>
      </c>
      <c r="F62" s="129" t="n">
        <v>1.20238808654832</v>
      </c>
    </row>
    <row r="63" customFormat="false" ht="15" hidden="false" customHeight="false" outlineLevel="0" collapsed="false">
      <c r="A63" s="135" t="n">
        <v>0.26</v>
      </c>
      <c r="B63" s="129" t="n">
        <v>1.31089255072841</v>
      </c>
      <c r="C63" s="129" t="n">
        <v>1.25438654954558</v>
      </c>
      <c r="D63" s="129" t="n">
        <v>1.20255062522544</v>
      </c>
      <c r="E63" s="129" t="n">
        <v>1.15482879801185</v>
      </c>
      <c r="F63" s="129" t="n">
        <v>1.1107499732305</v>
      </c>
    </row>
    <row r="66" customFormat="false" ht="15" hidden="false" customHeight="false" outlineLevel="0" collapsed="false">
      <c r="A66" s="19" t="s">
        <v>1131</v>
      </c>
      <c r="B66" s="20"/>
      <c r="C66" s="20"/>
      <c r="D66" s="20"/>
      <c r="E66" s="20"/>
      <c r="F66" s="20"/>
      <c r="G66" s="20"/>
      <c r="H66" s="20"/>
    </row>
    <row r="67" customFormat="false" ht="15" hidden="false" customHeight="false" outlineLevel="0" collapsed="false">
      <c r="A67" s="14" t="s">
        <v>1132</v>
      </c>
    </row>
    <row r="68" customFormat="false" ht="30" hidden="false" customHeight="true" outlineLevel="0" collapsed="false">
      <c r="A68" s="44" t="s">
        <v>1133</v>
      </c>
      <c r="B68" s="136" t="n">
        <v>0.105</v>
      </c>
      <c r="C68" s="136" t="n">
        <v>0.115</v>
      </c>
      <c r="D68" s="136" t="n">
        <v>0.125</v>
      </c>
      <c r="E68" s="136" t="n">
        <v>0.135</v>
      </c>
      <c r="F68" s="136" t="n">
        <v>0.145</v>
      </c>
    </row>
    <row r="69" customFormat="false" ht="15" hidden="false" customHeight="false" outlineLevel="0" collapsed="false">
      <c r="A69" s="138" t="n">
        <v>9</v>
      </c>
      <c r="B69" s="126" t="n">
        <v>0.231165178123365</v>
      </c>
      <c r="C69" s="126" t="n">
        <v>0.231165178123365</v>
      </c>
      <c r="D69" s="126" t="n">
        <v>0.231165178123365</v>
      </c>
      <c r="E69" s="126" t="n">
        <v>0.231165178123365</v>
      </c>
      <c r="F69" s="126" t="n">
        <v>0.231165178123365</v>
      </c>
    </row>
    <row r="70" customFormat="false" ht="15" hidden="false" customHeight="false" outlineLevel="0" collapsed="false">
      <c r="A70" s="138" t="n">
        <v>11</v>
      </c>
      <c r="B70" s="126" t="n">
        <v>0.251436836658832</v>
      </c>
      <c r="C70" s="126" t="n">
        <v>0.251436836658832</v>
      </c>
      <c r="D70" s="126" t="n">
        <v>0.251436836658832</v>
      </c>
      <c r="E70" s="126" t="n">
        <v>0.251436836658832</v>
      </c>
      <c r="F70" s="126" t="n">
        <v>0.251436836658832</v>
      </c>
    </row>
    <row r="71" customFormat="false" ht="15" hidden="false" customHeight="false" outlineLevel="0" collapsed="false">
      <c r="A71" s="138" t="n">
        <v>13</v>
      </c>
      <c r="B71" s="126" t="n">
        <v>0.26910963037426</v>
      </c>
      <c r="C71" s="126" t="n">
        <v>0.26910963037426</v>
      </c>
      <c r="D71" s="126" t="n">
        <v>0.26910963037426</v>
      </c>
      <c r="E71" s="126" t="n">
        <v>0.26910963037426</v>
      </c>
      <c r="F71" s="126" t="n">
        <v>0.26910963037426</v>
      </c>
    </row>
    <row r="72" customFormat="false" ht="15" hidden="false" customHeight="false" outlineLevel="0" collapsed="false">
      <c r="A72" s="138" t="n">
        <v>15</v>
      </c>
      <c r="B72" s="126" t="n">
        <v>0.284803845847455</v>
      </c>
      <c r="C72" s="126" t="n">
        <v>0.284803845847455</v>
      </c>
      <c r="D72" s="126" t="n">
        <v>0.284803845847455</v>
      </c>
      <c r="E72" s="126" t="n">
        <v>0.284803845847455</v>
      </c>
      <c r="F72" s="126" t="n">
        <v>0.284803845847455</v>
      </c>
    </row>
    <row r="73" customFormat="false" ht="15" hidden="false" customHeight="false" outlineLevel="0" collapsed="false">
      <c r="A73" s="138" t="n">
        <v>17</v>
      </c>
      <c r="B73" s="126" t="n">
        <v>0.298938239435665</v>
      </c>
      <c r="C73" s="126" t="n">
        <v>0.298938239435665</v>
      </c>
      <c r="D73" s="126" t="n">
        <v>0.298938239435665</v>
      </c>
      <c r="E73" s="126" t="n">
        <v>0.298938239435665</v>
      </c>
      <c r="F73" s="126" t="n">
        <v>0.298938239435665</v>
      </c>
    </row>
    <row r="76" customFormat="false" ht="15" hidden="false" customHeight="false" outlineLevel="0" collapsed="false">
      <c r="A76" s="19" t="s">
        <v>1134</v>
      </c>
      <c r="B76" s="20"/>
      <c r="C76" s="20"/>
      <c r="D76" s="20"/>
      <c r="E76" s="20"/>
      <c r="F76" s="20"/>
      <c r="G76" s="20"/>
      <c r="H76" s="20"/>
    </row>
    <row r="77" customFormat="false" ht="15" hidden="false" customHeight="false" outlineLevel="0" collapsed="false">
      <c r="A77" s="14" t="s">
        <v>1135</v>
      </c>
    </row>
    <row r="78" customFormat="false" ht="30" hidden="false" customHeight="true" outlineLevel="0" collapsed="false">
      <c r="A78" s="44" t="s">
        <v>1133</v>
      </c>
      <c r="B78" s="136" t="n">
        <v>0.105</v>
      </c>
      <c r="C78" s="136" t="n">
        <v>0.115</v>
      </c>
      <c r="D78" s="136" t="n">
        <v>0.125</v>
      </c>
      <c r="E78" s="136" t="n">
        <v>0.135</v>
      </c>
      <c r="F78" s="136" t="n">
        <v>0.145</v>
      </c>
    </row>
    <row r="79" customFormat="false" ht="15" hidden="false" customHeight="false" outlineLevel="0" collapsed="false">
      <c r="A79" s="138" t="n">
        <v>9</v>
      </c>
      <c r="B79" s="123" t="n">
        <v>10317.7155145491</v>
      </c>
      <c r="C79" s="123" t="n">
        <v>8649.68769628432</v>
      </c>
      <c r="D79" s="123" t="n">
        <v>7128.84648306612</v>
      </c>
      <c r="E79" s="123" t="n">
        <v>5740.8068402328</v>
      </c>
      <c r="F79" s="123" t="n">
        <v>4472.71362706636</v>
      </c>
    </row>
    <row r="80" customFormat="false" ht="15" hidden="false" customHeight="false" outlineLevel="0" collapsed="false">
      <c r="A80" s="138" t="n">
        <v>11</v>
      </c>
      <c r="B80" s="123" t="n">
        <v>13422.8776821228</v>
      </c>
      <c r="C80" s="123" t="n">
        <v>11487.3348519206</v>
      </c>
      <c r="D80" s="123" t="n">
        <v>9724.11227247434</v>
      </c>
      <c r="E80" s="123" t="n">
        <v>8116.27082940402</v>
      </c>
      <c r="F80" s="123" t="n">
        <v>6648.68010070271</v>
      </c>
    </row>
    <row r="81" customFormat="false" ht="15" hidden="false" customHeight="false" outlineLevel="0" collapsed="false">
      <c r="A81" s="138" t="n">
        <v>13</v>
      </c>
      <c r="B81" s="123" t="n">
        <v>16528.0398496965</v>
      </c>
      <c r="C81" s="123" t="n">
        <v>14324.9820075569</v>
      </c>
      <c r="D81" s="123" t="n">
        <v>12319.3780618826</v>
      </c>
      <c r="E81" s="123" t="n">
        <v>10491.7348185752</v>
      </c>
      <c r="F81" s="123" t="n">
        <v>8824.64657433906</v>
      </c>
    </row>
    <row r="82" customFormat="false" ht="15" hidden="false" customHeight="false" outlineLevel="0" collapsed="false">
      <c r="A82" s="138" t="n">
        <v>15</v>
      </c>
      <c r="B82" s="123" t="n">
        <v>19633.2020172701</v>
      </c>
      <c r="C82" s="123" t="n">
        <v>17162.6291631932</v>
      </c>
      <c r="D82" s="123" t="n">
        <v>14914.6438512908</v>
      </c>
      <c r="E82" s="123" t="n">
        <v>12867.1988077465</v>
      </c>
      <c r="F82" s="123" t="n">
        <v>11000.6130479754</v>
      </c>
    </row>
    <row r="83" customFormat="false" ht="15" hidden="false" customHeight="false" outlineLevel="0" collapsed="false">
      <c r="A83" s="138" t="n">
        <v>17</v>
      </c>
      <c r="B83" s="123" t="n">
        <v>22738.3641848438</v>
      </c>
      <c r="C83" s="123" t="n">
        <v>20000.2763188294</v>
      </c>
      <c r="D83" s="123" t="n">
        <v>17509.909640699</v>
      </c>
      <c r="E83" s="123" t="n">
        <v>15242.6627969177</v>
      </c>
      <c r="F83" s="123" t="n">
        <v>13176.5795216118</v>
      </c>
    </row>
    <row r="86" customFormat="false" ht="15" hidden="false" customHeight="false" outlineLevel="0" collapsed="false">
      <c r="A86" s="19" t="s">
        <v>1136</v>
      </c>
      <c r="B86" s="20"/>
      <c r="C86" s="20"/>
      <c r="D86" s="20"/>
      <c r="E86" s="20"/>
      <c r="F86" s="20"/>
      <c r="G86" s="20"/>
      <c r="H86" s="20"/>
    </row>
    <row r="87" customFormat="false" ht="15" hidden="false" customHeight="false" outlineLevel="0" collapsed="false">
      <c r="A87" s="14" t="s">
        <v>1137</v>
      </c>
    </row>
    <row r="88" customFormat="false" ht="30" hidden="false" customHeight="true" outlineLevel="0" collapsed="false">
      <c r="A88" s="44" t="s">
        <v>1138</v>
      </c>
      <c r="B88" s="137" t="n">
        <v>0.205</v>
      </c>
      <c r="C88" s="137" t="n">
        <v>0.215</v>
      </c>
      <c r="D88" s="137" t="n">
        <v>0.23</v>
      </c>
      <c r="E88" s="137" t="n">
        <v>0.245</v>
      </c>
      <c r="F88" s="137" t="n">
        <v>0.26</v>
      </c>
    </row>
    <row r="89" customFormat="false" ht="15" hidden="false" customHeight="false" outlineLevel="0" collapsed="false">
      <c r="A89" s="135" t="n">
        <v>0.6</v>
      </c>
      <c r="B89" s="126" t="n">
        <v>0.198682141679825</v>
      </c>
      <c r="C89" s="126" t="n">
        <v>0.188682141679825</v>
      </c>
      <c r="D89" s="126" t="n">
        <v>0.173682141679825</v>
      </c>
      <c r="E89" s="126" t="n">
        <v>0.158682141679825</v>
      </c>
      <c r="F89" s="126" t="n">
        <v>0.143682141679825</v>
      </c>
    </row>
    <row r="90" customFormat="false" ht="15" hidden="false" customHeight="false" outlineLevel="0" collapsed="false">
      <c r="A90" s="135" t="n">
        <v>0.64</v>
      </c>
      <c r="B90" s="126" t="n">
        <v>0.221934842132828</v>
      </c>
      <c r="C90" s="126" t="n">
        <v>0.211934842132828</v>
      </c>
      <c r="D90" s="126" t="n">
        <v>0.196934842132828</v>
      </c>
      <c r="E90" s="126" t="n">
        <v>0.181934842132828</v>
      </c>
      <c r="F90" s="126" t="n">
        <v>0.166934842132828</v>
      </c>
    </row>
    <row r="91" customFormat="false" ht="15" hidden="false" customHeight="false" outlineLevel="0" collapsed="false">
      <c r="A91" s="135" t="n">
        <v>0.68</v>
      </c>
      <c r="B91" s="126" t="n">
        <v>0.243065410256761</v>
      </c>
      <c r="C91" s="126" t="n">
        <v>0.233065410256761</v>
      </c>
      <c r="D91" s="126" t="n">
        <v>0.218065410256761</v>
      </c>
      <c r="E91" s="126" t="n">
        <v>0.203065410256761</v>
      </c>
      <c r="F91" s="126" t="n">
        <v>0.188065410256761</v>
      </c>
    </row>
    <row r="92" customFormat="false" ht="15" hidden="false" customHeight="false" outlineLevel="0" collapsed="false">
      <c r="A92" s="135" t="n">
        <v>0.72</v>
      </c>
      <c r="B92" s="126" t="n">
        <v>0.262351679122059</v>
      </c>
      <c r="C92" s="126" t="n">
        <v>0.252351679122059</v>
      </c>
      <c r="D92" s="126" t="n">
        <v>0.237351679122059</v>
      </c>
      <c r="E92" s="126" t="n">
        <v>0.222351679122059</v>
      </c>
      <c r="F92" s="126" t="n">
        <v>0.207351679122059</v>
      </c>
    </row>
    <row r="93" customFormat="false" ht="15" hidden="false" customHeight="false" outlineLevel="0" collapsed="false">
      <c r="A93" s="135" t="n">
        <v>0.76</v>
      </c>
      <c r="B93" s="126" t="n">
        <v>0.280025010671959</v>
      </c>
      <c r="C93" s="126" t="n">
        <v>0.270025010671959</v>
      </c>
      <c r="D93" s="126" t="n">
        <v>0.255025010671959</v>
      </c>
      <c r="E93" s="126" t="n">
        <v>0.240025010671959</v>
      </c>
      <c r="F93" s="126" t="n">
        <v>0.225025010671959</v>
      </c>
    </row>
    <row r="94" customFormat="false" ht="15" hidden="false" customHeight="false" outlineLevel="0" collapsed="false">
      <c r="A94" s="135" t="n">
        <v>0.8</v>
      </c>
      <c r="B94" s="126" t="n">
        <v>0.29627962185528</v>
      </c>
      <c r="C94" s="126" t="n">
        <v>0.28627962185528</v>
      </c>
      <c r="D94" s="126" t="n">
        <v>0.27127962185528</v>
      </c>
      <c r="E94" s="126" t="n">
        <v>0.25627962185528</v>
      </c>
      <c r="F94" s="126" t="n">
        <v>0.24127962185528</v>
      </c>
    </row>
    <row r="97" customFormat="false" ht="15" hidden="false" customHeight="false" outlineLevel="0" collapsed="false">
      <c r="A97" s="8" t="s">
        <v>1139</v>
      </c>
    </row>
    <row r="98" customFormat="false" ht="15" hidden="false" customHeight="false" outlineLevel="0" collapsed="false">
      <c r="A98" s="14" t="s">
        <v>1140</v>
      </c>
    </row>
    <row r="99" customFormat="false" ht="15" hidden="false" customHeight="false" outlineLevel="0" collapsed="false">
      <c r="A99" s="14" t="s">
        <v>1141</v>
      </c>
    </row>
    <row r="100" customFormat="false" ht="15" hidden="false" customHeight="false" outlineLevel="0" collapsed="false">
      <c r="A100" s="14" t="s">
        <v>1142</v>
      </c>
    </row>
    <row r="101" customFormat="false" ht="15" hidden="false" customHeight="false" outlineLevel="0" collapsed="false">
      <c r="A101" s="14" t="s">
        <v>1143</v>
      </c>
    </row>
    <row r="102" customFormat="false" ht="15" hidden="false" customHeight="false" outlineLevel="0" collapsed="false">
      <c r="A102" s="14" t="s">
        <v>1144</v>
      </c>
    </row>
  </sheetData>
  <conditionalFormatting sqref="B7:F12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18:F23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ellIs" priority="4" operator="lessThan" aboveAverage="0" equalAverage="0" bottom="0" percent="0" rank="0" text="" dxfId="0">
      <formula>1.25</formula>
    </cfRule>
  </conditionalFormatting>
  <conditionalFormatting sqref="B29:F34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39:F44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ellIs" priority="7" operator="lessThan" aboveAverage="0" equalAverage="0" bottom="0" percent="0" rank="0" text="" dxfId="0">
      <formula>1.25</formula>
    </cfRule>
  </conditionalFormatting>
  <conditionalFormatting sqref="B50:F54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59:F63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ellIs" priority="10" operator="lessThan" aboveAverage="0" equalAverage="0" bottom="0" percent="0" rank="0" text="" dxfId="0">
      <formula>1.25</formula>
    </cfRule>
  </conditionalFormatting>
  <conditionalFormatting sqref="B69:F73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79:F83">
    <cfRule type="colorScale" priority="1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89:F94">
    <cfRule type="colorScale" priority="1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O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8" min="2" style="0" width="13"/>
    <col collapsed="false" customWidth="true" hidden="false" outlineLevel="0" max="9" min="9" style="0" width="3"/>
    <col collapsed="false" customWidth="true" hidden="false" outlineLevel="0" max="10" min="10" style="0" width="40"/>
    <col collapsed="false" customWidth="true" hidden="false" outlineLevel="0" max="16" min="11" style="0" width="13"/>
  </cols>
  <sheetData>
    <row r="1" customFormat="false" ht="24" hidden="false" customHeight="true" outlineLevel="0" collapsed="false">
      <c r="A1" s="15" t="s">
        <v>1145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" hidden="false" customHeight="false" outlineLevel="0" collapsed="false">
      <c r="A2" s="16" t="s">
        <v>1146</v>
      </c>
    </row>
    <row r="4" customFormat="false" ht="15" hidden="false" customHeight="false" outlineLevel="0" collapsed="false">
      <c r="A4" s="6" t="s">
        <v>1147</v>
      </c>
      <c r="C4" s="113" t="n">
        <v>0.26910963037426</v>
      </c>
    </row>
    <row r="5" customFormat="false" ht="15" hidden="false" customHeight="false" outlineLevel="0" collapsed="false">
      <c r="A5" s="6" t="s">
        <v>1148</v>
      </c>
      <c r="C5" s="105" t="n">
        <v>1.46136313211039</v>
      </c>
    </row>
    <row r="7" customFormat="false" ht="15" hidden="false" customHeight="false" outlineLevel="0" collapsed="false">
      <c r="A7" s="19" t="s">
        <v>1149</v>
      </c>
      <c r="B7" s="20"/>
      <c r="C7" s="20"/>
      <c r="D7" s="20"/>
      <c r="E7" s="20"/>
      <c r="F7" s="20"/>
      <c r="G7" s="20"/>
      <c r="H7" s="20"/>
    </row>
    <row r="8" customFormat="false" ht="27.75" hidden="false" customHeight="true" outlineLevel="0" collapsed="false">
      <c r="A8" s="44" t="s">
        <v>121</v>
      </c>
      <c r="B8" s="44" t="s">
        <v>1150</v>
      </c>
      <c r="C8" s="44" t="s">
        <v>1151</v>
      </c>
      <c r="D8" s="44" t="s">
        <v>1152</v>
      </c>
      <c r="E8" s="44" t="s">
        <v>1153</v>
      </c>
      <c r="F8" s="44" t="s">
        <v>1154</v>
      </c>
      <c r="G8" s="44" t="s">
        <v>1155</v>
      </c>
      <c r="H8" s="44" t="s">
        <v>1156</v>
      </c>
    </row>
    <row r="9" customFormat="false" ht="15" hidden="false" customHeight="false" outlineLevel="0" collapsed="false">
      <c r="A9" s="22" t="s">
        <v>1157</v>
      </c>
      <c r="B9" s="139" t="n">
        <v>0.85</v>
      </c>
      <c r="C9" s="139" t="n">
        <v>1.12</v>
      </c>
      <c r="D9" s="78" t="n">
        <v>0.180712948871769</v>
      </c>
      <c r="E9" s="78" t="n">
        <v>0.323539154951686</v>
      </c>
      <c r="F9" s="78" t="n">
        <v>-0.0883966815024905</v>
      </c>
      <c r="G9" s="78" t="n">
        <v>0.0544295245774266</v>
      </c>
      <c r="H9" s="131" t="n">
        <v>0.142826206079917</v>
      </c>
    </row>
    <row r="10" customFormat="false" ht="15" hidden="false" customHeight="false" outlineLevel="0" collapsed="false">
      <c r="A10" s="22" t="s">
        <v>1158</v>
      </c>
      <c r="B10" s="140" t="n">
        <v>23000</v>
      </c>
      <c r="C10" s="140" t="n">
        <v>30000</v>
      </c>
      <c r="D10" s="78" t="n">
        <v>0.19308336470458</v>
      </c>
      <c r="E10" s="78" t="n">
        <v>0.328507789823925</v>
      </c>
      <c r="F10" s="78" t="n">
        <v>-0.0760262656696795</v>
      </c>
      <c r="G10" s="78" t="n">
        <v>0.0593981594496655</v>
      </c>
      <c r="H10" s="131" t="n">
        <v>0.135424425119345</v>
      </c>
    </row>
    <row r="11" customFormat="false" ht="15" hidden="false" customHeight="false" outlineLevel="0" collapsed="false">
      <c r="A11" s="22" t="s">
        <v>137</v>
      </c>
      <c r="B11" s="139" t="n">
        <v>0.05</v>
      </c>
      <c r="C11" s="139" t="n">
        <v>0.095</v>
      </c>
      <c r="D11" s="78" t="n">
        <v>0.18664777382196</v>
      </c>
      <c r="E11" s="78" t="n">
        <v>0.320900082650041</v>
      </c>
      <c r="F11" s="78" t="n">
        <v>-0.0824618565522997</v>
      </c>
      <c r="G11" s="78" t="n">
        <v>0.0517904522757817</v>
      </c>
      <c r="H11" s="131" t="n">
        <v>0.134252308828081</v>
      </c>
    </row>
    <row r="12" customFormat="false" ht="15" hidden="false" customHeight="false" outlineLevel="0" collapsed="false">
      <c r="A12" s="22" t="s">
        <v>1159</v>
      </c>
      <c r="B12" s="139" t="n">
        <v>0.64</v>
      </c>
      <c r="C12" s="139" t="n">
        <v>0.8</v>
      </c>
      <c r="D12" s="78" t="n">
        <v>0.206792545975804</v>
      </c>
      <c r="E12" s="78" t="n">
        <v>0.319836671059329</v>
      </c>
      <c r="F12" s="78" t="n">
        <v>-0.0623170843984553</v>
      </c>
      <c r="G12" s="78" t="n">
        <v>0.0507270406850693</v>
      </c>
      <c r="H12" s="131" t="n">
        <v>0.113044125083525</v>
      </c>
    </row>
    <row r="13" customFormat="false" ht="15" hidden="false" customHeight="false" outlineLevel="0" collapsed="false">
      <c r="A13" s="22" t="s">
        <v>152</v>
      </c>
      <c r="B13" s="140" t="n">
        <v>9</v>
      </c>
      <c r="C13" s="140" t="n">
        <v>17</v>
      </c>
      <c r="D13" s="78" t="n">
        <v>0.231165178123365</v>
      </c>
      <c r="E13" s="78" t="n">
        <v>0.298938239435665</v>
      </c>
      <c r="F13" s="78" t="n">
        <v>-0.0379444522508947</v>
      </c>
      <c r="G13" s="78" t="n">
        <v>0.0298286090614057</v>
      </c>
      <c r="H13" s="131" t="n">
        <v>0.0677730613123003</v>
      </c>
    </row>
    <row r="14" customFormat="false" ht="15" hidden="false" customHeight="false" outlineLevel="0" collapsed="false">
      <c r="A14" s="22" t="s">
        <v>142</v>
      </c>
      <c r="B14" s="139" t="n">
        <v>0.1</v>
      </c>
      <c r="C14" s="139" t="n">
        <v>0.06</v>
      </c>
      <c r="D14" s="78" t="n">
        <v>0.235511255578013</v>
      </c>
      <c r="E14" s="78" t="n">
        <v>0.294273999711095</v>
      </c>
      <c r="F14" s="78" t="n">
        <v>-0.0335983747962472</v>
      </c>
      <c r="G14" s="78" t="n">
        <v>0.0251643693368353</v>
      </c>
      <c r="H14" s="131" t="n">
        <v>0.0587627441330824</v>
      </c>
    </row>
    <row r="15" customFormat="false" ht="15" hidden="false" customHeight="false" outlineLevel="0" collapsed="false">
      <c r="A15" s="22" t="s">
        <v>140</v>
      </c>
      <c r="B15" s="139" t="n">
        <v>0.26</v>
      </c>
      <c r="C15" s="139" t="n">
        <v>0.205</v>
      </c>
      <c r="D15" s="78" t="n">
        <v>0.237004194126212</v>
      </c>
      <c r="E15" s="78" t="n">
        <v>0.293237914477459</v>
      </c>
      <c r="F15" s="78" t="n">
        <v>-0.0321054362480481</v>
      </c>
      <c r="G15" s="78" t="n">
        <v>0.024128284103199</v>
      </c>
      <c r="H15" s="131" t="n">
        <v>0.0562337203512471</v>
      </c>
    </row>
    <row r="16" customFormat="false" ht="15" hidden="false" customHeight="false" outlineLevel="0" collapsed="false">
      <c r="A16" s="22" t="s">
        <v>1160</v>
      </c>
      <c r="B16" s="139" t="n">
        <v>0.8</v>
      </c>
      <c r="C16" s="139" t="n">
        <v>1.2</v>
      </c>
      <c r="D16" s="78" t="n">
        <v>0.240054109759603</v>
      </c>
      <c r="E16" s="78" t="n">
        <v>0.295093166843708</v>
      </c>
      <c r="F16" s="78" t="n">
        <v>-0.0290555206146564</v>
      </c>
      <c r="G16" s="78" t="n">
        <v>0.0259835364694483</v>
      </c>
      <c r="H16" s="131" t="n">
        <v>0.0550390570841047</v>
      </c>
    </row>
    <row r="17" customFormat="false" ht="15" hidden="false" customHeight="false" outlineLevel="0" collapsed="false">
      <c r="A17" s="22" t="s">
        <v>1161</v>
      </c>
      <c r="B17" s="139" t="n">
        <v>0.13</v>
      </c>
      <c r="C17" s="139" t="n">
        <v>0.09</v>
      </c>
      <c r="D17" s="78" t="n">
        <v>0.250749155717722</v>
      </c>
      <c r="E17" s="78" t="n">
        <v>0.286262454908137</v>
      </c>
      <c r="F17" s="78" t="n">
        <v>-0.0183604746565377</v>
      </c>
      <c r="G17" s="78" t="n">
        <v>0.0171528245338777</v>
      </c>
      <c r="H17" s="131" t="n">
        <v>0.0355132991904155</v>
      </c>
    </row>
    <row r="18" customFormat="false" ht="15" hidden="false" customHeight="false" outlineLevel="0" collapsed="false">
      <c r="A18" s="22" t="s">
        <v>145</v>
      </c>
      <c r="B18" s="139" t="n">
        <v>0.15</v>
      </c>
      <c r="C18" s="139" t="n">
        <v>-0.05</v>
      </c>
      <c r="D18" s="78" t="n">
        <v>0.248874738049972</v>
      </c>
      <c r="E18" s="78" t="n">
        <v>0.276111135820838</v>
      </c>
      <c r="F18" s="78" t="n">
        <v>-0.020234892324288</v>
      </c>
      <c r="G18" s="78" t="n">
        <v>0.00700150544657846</v>
      </c>
      <c r="H18" s="131" t="n">
        <v>0.0272363977708665</v>
      </c>
    </row>
    <row r="19" customFormat="false" ht="15" hidden="false" customHeight="false" outlineLevel="0" collapsed="false">
      <c r="A19" s="22" t="s">
        <v>1162</v>
      </c>
      <c r="B19" s="139" t="n">
        <v>0.125</v>
      </c>
      <c r="C19" s="139" t="n">
        <v>0.095</v>
      </c>
      <c r="D19" s="78" t="n">
        <v>0.258688107157332</v>
      </c>
      <c r="E19" s="78" t="n">
        <v>0.276464247590593</v>
      </c>
      <c r="F19" s="78" t="n">
        <v>-0.010421523216928</v>
      </c>
      <c r="G19" s="78" t="n">
        <v>0.00735461721633329</v>
      </c>
      <c r="H19" s="131" t="n">
        <v>0.0177761404332613</v>
      </c>
    </row>
    <row r="20" customFormat="false" ht="15" hidden="false" customHeight="false" outlineLevel="0" collapsed="false">
      <c r="A20" s="22" t="s">
        <v>1163</v>
      </c>
      <c r="B20" s="140" t="n">
        <v>9</v>
      </c>
      <c r="C20" s="140" t="n">
        <v>0</v>
      </c>
      <c r="D20" s="78" t="n">
        <v>0.264666063341383</v>
      </c>
      <c r="E20" s="78" t="n">
        <v>0.26910963037426</v>
      </c>
      <c r="F20" s="78" t="n">
        <v>-0.00444356703287663</v>
      </c>
      <c r="G20" s="78" t="n">
        <v>0</v>
      </c>
      <c r="H20" s="131" t="n">
        <v>0.00444356703287663</v>
      </c>
    </row>
    <row r="22" customFormat="false" ht="15" hidden="false" customHeight="false" outlineLevel="0" collapsed="false">
      <c r="A22" s="19" t="s">
        <v>1164</v>
      </c>
      <c r="B22" s="20"/>
      <c r="C22" s="20"/>
      <c r="D22" s="20"/>
      <c r="E22" s="20"/>
      <c r="F22" s="20"/>
      <c r="G22" s="20"/>
      <c r="H22" s="20"/>
    </row>
    <row r="23" customFormat="false" ht="27.75" hidden="false" customHeight="true" outlineLevel="0" collapsed="false">
      <c r="A23" s="44" t="s">
        <v>121</v>
      </c>
      <c r="B23" s="44" t="s">
        <v>1150</v>
      </c>
      <c r="C23" s="44" t="s">
        <v>1151</v>
      </c>
      <c r="D23" s="44" t="s">
        <v>1165</v>
      </c>
      <c r="E23" s="44" t="s">
        <v>1166</v>
      </c>
      <c r="F23" s="44" t="s">
        <v>1154</v>
      </c>
      <c r="G23" s="44" t="s">
        <v>1155</v>
      </c>
      <c r="H23" s="44" t="s">
        <v>1156</v>
      </c>
    </row>
    <row r="24" customFormat="false" ht="15" hidden="false" customHeight="false" outlineLevel="0" collapsed="false">
      <c r="A24" s="22" t="s">
        <v>1157</v>
      </c>
      <c r="B24" s="139" t="n">
        <v>0.85</v>
      </c>
      <c r="C24" s="139" t="n">
        <v>1.12</v>
      </c>
      <c r="D24" s="129" t="n">
        <v>0.932974943025202</v>
      </c>
      <c r="E24" s="129" t="n">
        <v>1.77379113208686</v>
      </c>
      <c r="F24" s="129" t="n">
        <v>-0.528388189085189</v>
      </c>
      <c r="G24" s="129" t="n">
        <v>0.312427999976465</v>
      </c>
      <c r="H24" s="128" t="n">
        <v>0.840816189061653</v>
      </c>
    </row>
    <row r="25" customFormat="false" ht="15" hidden="false" customHeight="false" outlineLevel="0" collapsed="false">
      <c r="A25" s="22" t="s">
        <v>1158</v>
      </c>
      <c r="B25" s="140" t="n">
        <v>23000</v>
      </c>
      <c r="C25" s="140" t="n">
        <v>30000</v>
      </c>
      <c r="D25" s="129" t="n">
        <v>0.996115670022803</v>
      </c>
      <c r="E25" s="129" t="n">
        <v>1.80597330656717</v>
      </c>
      <c r="F25" s="129" t="n">
        <v>-0.465247462087587</v>
      </c>
      <c r="G25" s="129" t="n">
        <v>0.344610174456776</v>
      </c>
      <c r="H25" s="128" t="n">
        <v>0.809857636544363</v>
      </c>
    </row>
    <row r="26" customFormat="false" ht="15" hidden="false" customHeight="false" outlineLevel="0" collapsed="false">
      <c r="A26" s="22" t="s">
        <v>1159</v>
      </c>
      <c r="B26" s="139" t="n">
        <v>0.64</v>
      </c>
      <c r="C26" s="139" t="n">
        <v>0.8</v>
      </c>
      <c r="D26" s="129" t="n">
        <v>1.06996447352877</v>
      </c>
      <c r="E26" s="129" t="n">
        <v>1.75010147587218</v>
      </c>
      <c r="F26" s="129" t="n">
        <v>-0.391398658581621</v>
      </c>
      <c r="G26" s="129" t="n">
        <v>0.288738343761791</v>
      </c>
      <c r="H26" s="128" t="n">
        <v>0.680137002343412</v>
      </c>
    </row>
    <row r="27" customFormat="false" ht="15" hidden="false" customHeight="false" outlineLevel="0" collapsed="false">
      <c r="A27" s="22" t="s">
        <v>137</v>
      </c>
      <c r="B27" s="139" t="n">
        <v>0.05</v>
      </c>
      <c r="C27" s="139" t="n">
        <v>0.095</v>
      </c>
      <c r="D27" s="129" t="n">
        <v>1.22296466529586</v>
      </c>
      <c r="E27" s="129" t="n">
        <v>1.65280480932151</v>
      </c>
      <c r="F27" s="129" t="n">
        <v>-0.238398466814528</v>
      </c>
      <c r="G27" s="129" t="n">
        <v>0.191441677211116</v>
      </c>
      <c r="H27" s="128" t="n">
        <v>0.429840144025644</v>
      </c>
    </row>
    <row r="28" customFormat="false" ht="15" hidden="false" customHeight="false" outlineLevel="0" collapsed="false">
      <c r="A28" s="22" t="s">
        <v>140</v>
      </c>
      <c r="B28" s="139" t="n">
        <v>0.26</v>
      </c>
      <c r="C28" s="139" t="n">
        <v>0.205</v>
      </c>
      <c r="D28" s="129" t="n">
        <v>1.25438654954558</v>
      </c>
      <c r="E28" s="129" t="n">
        <v>1.63384361758107</v>
      </c>
      <c r="F28" s="129" t="n">
        <v>-0.20697658256481</v>
      </c>
      <c r="G28" s="129" t="n">
        <v>0.172480485470676</v>
      </c>
      <c r="H28" s="128" t="n">
        <v>0.379457068035486</v>
      </c>
    </row>
    <row r="29" customFormat="false" ht="15" hidden="false" customHeight="false" outlineLevel="0" collapsed="false">
      <c r="A29" s="22" t="s">
        <v>1160</v>
      </c>
      <c r="B29" s="139" t="n">
        <v>0.8</v>
      </c>
      <c r="C29" s="139" t="n">
        <v>1.2</v>
      </c>
      <c r="D29" s="129" t="n">
        <v>1.28258495968421</v>
      </c>
      <c r="E29" s="129" t="n">
        <v>1.64014130453657</v>
      </c>
      <c r="F29" s="129" t="n">
        <v>-0.178778172426181</v>
      </c>
      <c r="G29" s="129" t="n">
        <v>0.178778172426183</v>
      </c>
      <c r="H29" s="128" t="n">
        <v>0.357556344852363</v>
      </c>
    </row>
    <row r="30" customFormat="false" ht="15" hidden="false" customHeight="false" outlineLevel="0" collapsed="false">
      <c r="A30" s="22" t="s">
        <v>1162</v>
      </c>
      <c r="B30" s="139" t="n">
        <v>0.125</v>
      </c>
      <c r="C30" s="139" t="n">
        <v>0.095</v>
      </c>
      <c r="D30" s="129" t="n">
        <v>1.31296090684863</v>
      </c>
      <c r="E30" s="129" t="n">
        <v>1.58763843997713</v>
      </c>
      <c r="F30" s="129" t="n">
        <v>-0.14840222526176</v>
      </c>
      <c r="G30" s="129" t="n">
        <v>0.126275307866739</v>
      </c>
      <c r="H30" s="128" t="n">
        <v>0.274677533128498</v>
      </c>
    </row>
    <row r="31" customFormat="false" ht="15" hidden="false" customHeight="false" outlineLevel="0" collapsed="false">
      <c r="A31" s="22" t="s">
        <v>1161</v>
      </c>
      <c r="B31" s="139" t="n">
        <v>0.13</v>
      </c>
      <c r="C31" s="139" t="n">
        <v>0.09</v>
      </c>
      <c r="D31" s="129" t="n">
        <v>1.33904816388618</v>
      </c>
      <c r="E31" s="129" t="n">
        <v>1.5836781003346</v>
      </c>
      <c r="F31" s="129" t="n">
        <v>-0.122314968224206</v>
      </c>
      <c r="G31" s="129" t="n">
        <v>0.122314968224207</v>
      </c>
      <c r="H31" s="128" t="n">
        <v>0.244629936448413</v>
      </c>
    </row>
    <row r="32" customFormat="false" ht="15" hidden="false" customHeight="false" outlineLevel="0" collapsed="false">
      <c r="A32" s="22" t="s">
        <v>145</v>
      </c>
      <c r="B32" s="139" t="n">
        <v>0.15</v>
      </c>
      <c r="C32" s="139" t="n">
        <v>-0.05</v>
      </c>
      <c r="D32" s="129" t="n">
        <v>1.29402619986614</v>
      </c>
      <c r="E32" s="129" t="n">
        <v>1.52719274970433</v>
      </c>
      <c r="F32" s="129" t="n">
        <v>-0.167336932244255</v>
      </c>
      <c r="G32" s="129" t="n">
        <v>0.065829617593943</v>
      </c>
      <c r="H32" s="128" t="n">
        <v>0.233166549838198</v>
      </c>
    </row>
    <row r="33" customFormat="false" ht="15" hidden="false" customHeight="false" outlineLevel="0" collapsed="false">
      <c r="A33" s="22" t="s">
        <v>142</v>
      </c>
      <c r="B33" s="139" t="n">
        <v>0.1</v>
      </c>
      <c r="C33" s="139" t="n">
        <v>0.06</v>
      </c>
      <c r="D33" s="129" t="n">
        <v>1.35442248794887</v>
      </c>
      <c r="E33" s="129" t="n">
        <v>1.56441546197404</v>
      </c>
      <c r="F33" s="129" t="n">
        <v>-0.106940644161516</v>
      </c>
      <c r="G33" s="129" t="n">
        <v>0.103052329863645</v>
      </c>
      <c r="H33" s="128" t="n">
        <v>0.209992974025161</v>
      </c>
    </row>
    <row r="34" customFormat="false" ht="15" hidden="false" customHeight="false" outlineLevel="0" collapsed="false">
      <c r="A34" s="22" t="s">
        <v>1163</v>
      </c>
      <c r="B34" s="140" t="n">
        <v>9</v>
      </c>
      <c r="C34" s="140" t="n">
        <v>0</v>
      </c>
      <c r="D34" s="129" t="n">
        <v>1.42226303474397</v>
      </c>
      <c r="E34" s="129" t="n">
        <v>1.46136313211039</v>
      </c>
      <c r="F34" s="129" t="n">
        <v>-0.039100097366422</v>
      </c>
      <c r="G34" s="129" t="n">
        <v>0</v>
      </c>
      <c r="H34" s="128" t="n">
        <v>0.039100097366422</v>
      </c>
    </row>
    <row r="35" customFormat="false" ht="15" hidden="false" customHeight="false" outlineLevel="0" collapsed="false">
      <c r="A35" s="22" t="s">
        <v>152</v>
      </c>
      <c r="B35" s="140" t="n">
        <v>9</v>
      </c>
      <c r="C35" s="140" t="n">
        <v>17</v>
      </c>
      <c r="D35" s="129" t="n">
        <v>1.46136313211039</v>
      </c>
      <c r="E35" s="129" t="n">
        <v>1.46136313211039</v>
      </c>
      <c r="F35" s="129" t="n">
        <v>0</v>
      </c>
      <c r="G35" s="129" t="n">
        <v>0</v>
      </c>
      <c r="H35" s="128" t="n">
        <v>0</v>
      </c>
    </row>
    <row r="38" customFormat="false" ht="15" hidden="false" customHeight="false" outlineLevel="0" collapsed="false">
      <c r="A38" s="8" t="s">
        <v>1167</v>
      </c>
    </row>
    <row r="39" customFormat="false" ht="15" hidden="false" customHeight="false" outlineLevel="0" collapsed="false">
      <c r="A39" s="7" t="s">
        <v>1168</v>
      </c>
    </row>
    <row r="40" customFormat="false" ht="15" hidden="false" customHeight="false" outlineLevel="0" collapsed="false">
      <c r="A40" s="7" t="s">
        <v>1169</v>
      </c>
    </row>
    <row r="41" customFormat="false" ht="15" hidden="false" customHeight="false" outlineLevel="0" collapsed="false">
      <c r="A41" s="7" t="s">
        <v>1170</v>
      </c>
    </row>
    <row r="42" customFormat="false" ht="15" hidden="false" customHeight="false" outlineLevel="0" collapsed="false">
      <c r="A42" s="14"/>
    </row>
    <row r="43" customFormat="false" ht="15" hidden="false" customHeight="false" outlineLevel="0" collapsed="false">
      <c r="A43" s="7" t="s">
        <v>1171</v>
      </c>
    </row>
    <row r="44" customFormat="false" ht="15" hidden="false" customHeight="false" outlineLevel="0" collapsed="false">
      <c r="A44" s="7" t="s">
        <v>1172</v>
      </c>
    </row>
    <row r="45" customFormat="false" ht="15" hidden="false" customHeight="false" outlineLevel="0" collapsed="false">
      <c r="A45" s="14"/>
    </row>
    <row r="46" customFormat="false" ht="15" hidden="false" customHeight="false" outlineLevel="0" collapsed="false">
      <c r="A46" s="7" t="s">
        <v>1173</v>
      </c>
    </row>
    <row r="47" customFormat="false" ht="15" hidden="false" customHeight="false" outlineLevel="0" collapsed="false">
      <c r="A47" s="7" t="s">
        <v>1174</v>
      </c>
    </row>
    <row r="48" customFormat="false" ht="15" hidden="false" customHeight="false" outlineLevel="0" collapsed="false">
      <c r="A48" s="7" t="s">
        <v>1175</v>
      </c>
    </row>
  </sheetData>
  <conditionalFormatting sqref="H9:H20">
    <cfRule type="colorScale" priority="2">
      <colorScale>
        <cfvo type="min" val="0"/>
        <cfvo type="max" val="0"/>
        <color rgb="FFFFFFFF"/>
        <color rgb="FFF8696B"/>
      </colorScale>
    </cfRule>
  </conditionalFormatting>
  <conditionalFormatting sqref="D24:E35">
    <cfRule type="cellIs" priority="3" operator="lessThan" aboveAverage="0" equalAverage="0" bottom="0" percent="0" rank="0" text="" dxfId="1">
      <formula>1.25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O1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7" min="2" style="0" width="14"/>
    <col collapsed="false" customWidth="true" hidden="false" outlineLevel="0" max="8" min="8" style="0" width="3"/>
    <col collapsed="false" customWidth="true" hidden="false" outlineLevel="0" max="9" min="9" style="0" width="46"/>
    <col collapsed="false" customWidth="true" hidden="false" outlineLevel="0" max="16" min="10" style="0" width="13"/>
  </cols>
  <sheetData>
    <row r="1" customFormat="false" ht="24" hidden="false" customHeight="true" outlineLevel="0" collapsed="false">
      <c r="A1" s="15" t="s">
        <v>1176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" hidden="false" customHeight="false" outlineLevel="0" collapsed="false">
      <c r="A2" s="16" t="s">
        <v>1177</v>
      </c>
    </row>
    <row r="4" customFormat="false" ht="15" hidden="false" customHeight="false" outlineLevel="0" collapsed="false">
      <c r="A4" s="6" t="s">
        <v>1178</v>
      </c>
      <c r="C4" s="43" t="n">
        <v>10000</v>
      </c>
    </row>
    <row r="5" customFormat="false" ht="15" hidden="false" customHeight="false" outlineLevel="0" collapsed="false">
      <c r="A5" s="6" t="s">
        <v>1179</v>
      </c>
      <c r="C5" s="43" t="n">
        <v>20260808</v>
      </c>
    </row>
    <row r="7" customFormat="false" ht="15" hidden="false" customHeight="false" outlineLevel="0" collapsed="false">
      <c r="A7" s="19" t="s">
        <v>1180</v>
      </c>
      <c r="B7" s="20"/>
      <c r="C7" s="20"/>
      <c r="D7" s="20"/>
      <c r="E7" s="20"/>
      <c r="F7" s="20"/>
      <c r="G7" s="20"/>
    </row>
    <row r="8" customFormat="false" ht="27.75" hidden="false" customHeight="true" outlineLevel="0" collapsed="false">
      <c r="A8" s="44" t="s">
        <v>121</v>
      </c>
      <c r="B8" s="44" t="s">
        <v>1181</v>
      </c>
      <c r="C8" s="44" t="s">
        <v>1182</v>
      </c>
      <c r="D8" s="44" t="s">
        <v>1183</v>
      </c>
      <c r="E8" s="44" t="s">
        <v>1184</v>
      </c>
      <c r="F8" s="44" t="s">
        <v>1185</v>
      </c>
    </row>
    <row r="9" customFormat="false" ht="15" hidden="false" customHeight="false" outlineLevel="0" collapsed="false">
      <c r="A9" s="22" t="s">
        <v>1159</v>
      </c>
      <c r="B9" s="141" t="s">
        <v>1186</v>
      </c>
      <c r="C9" s="139" t="n">
        <v>0.6</v>
      </c>
      <c r="D9" s="139" t="n">
        <v>0.72</v>
      </c>
      <c r="E9" s="139" t="n">
        <v>0.8</v>
      </c>
    </row>
    <row r="10" customFormat="false" ht="15" hidden="false" customHeight="false" outlineLevel="0" collapsed="false">
      <c r="A10" s="22" t="s">
        <v>1187</v>
      </c>
      <c r="B10" s="141" t="s">
        <v>1188</v>
      </c>
      <c r="D10" s="140" t="n">
        <v>26500</v>
      </c>
      <c r="F10" s="140" t="n">
        <v>1900</v>
      </c>
    </row>
    <row r="11" customFormat="false" ht="15" hidden="false" customHeight="false" outlineLevel="0" collapsed="false">
      <c r="A11" s="22" t="s">
        <v>1189</v>
      </c>
      <c r="B11" s="141" t="s">
        <v>1186</v>
      </c>
      <c r="C11" s="139" t="n">
        <v>0.05</v>
      </c>
      <c r="D11" s="139" t="n">
        <v>0.075</v>
      </c>
      <c r="E11" s="139" t="n">
        <v>0.092</v>
      </c>
    </row>
    <row r="12" customFormat="false" ht="15" hidden="false" customHeight="false" outlineLevel="0" collapsed="false">
      <c r="A12" s="22" t="s">
        <v>1157</v>
      </c>
      <c r="B12" s="141" t="s">
        <v>1186</v>
      </c>
      <c r="C12" s="139" t="n">
        <v>0.85</v>
      </c>
      <c r="D12" s="139" t="n">
        <v>1</v>
      </c>
      <c r="E12" s="139" t="n">
        <v>1.12</v>
      </c>
    </row>
    <row r="13" customFormat="false" ht="15" hidden="false" customHeight="false" outlineLevel="0" collapsed="false">
      <c r="A13" s="22" t="s">
        <v>1190</v>
      </c>
      <c r="B13" s="141" t="s">
        <v>1186</v>
      </c>
      <c r="C13" s="139" t="n">
        <v>0.82</v>
      </c>
      <c r="D13" s="139" t="n">
        <v>1</v>
      </c>
      <c r="E13" s="139" t="n">
        <v>1.18</v>
      </c>
    </row>
    <row r="14" customFormat="false" ht="15" hidden="false" customHeight="false" outlineLevel="0" collapsed="false">
      <c r="A14" s="22" t="s">
        <v>1191</v>
      </c>
      <c r="B14" s="141" t="s">
        <v>1188</v>
      </c>
      <c r="D14" s="139" t="n">
        <v>0.23</v>
      </c>
      <c r="F14" s="139" t="n">
        <v>0.013</v>
      </c>
    </row>
    <row r="15" customFormat="false" ht="15" hidden="false" customHeight="false" outlineLevel="0" collapsed="false">
      <c r="A15" s="22" t="s">
        <v>1192</v>
      </c>
      <c r="B15" s="141" t="s">
        <v>1186</v>
      </c>
      <c r="C15" s="139" t="n">
        <v>0.06</v>
      </c>
      <c r="D15" s="139" t="n">
        <v>0.08</v>
      </c>
      <c r="E15" s="139" t="n">
        <v>0.102</v>
      </c>
    </row>
    <row r="16" customFormat="false" ht="15" hidden="false" customHeight="false" outlineLevel="0" collapsed="false">
      <c r="A16" s="22" t="s">
        <v>1161</v>
      </c>
      <c r="B16" s="141" t="s">
        <v>1186</v>
      </c>
      <c r="C16" s="139" t="n">
        <v>0.092</v>
      </c>
      <c r="D16" s="139" t="n">
        <v>0.11</v>
      </c>
      <c r="E16" s="139" t="n">
        <v>0.13</v>
      </c>
    </row>
    <row r="17" customFormat="false" ht="15" hidden="false" customHeight="false" outlineLevel="0" collapsed="false">
      <c r="A17" s="22" t="s">
        <v>145</v>
      </c>
      <c r="B17" s="141" t="s">
        <v>1186</v>
      </c>
      <c r="C17" s="139" t="n">
        <v>-0.04</v>
      </c>
      <c r="D17" s="139" t="n">
        <v>0.01</v>
      </c>
      <c r="E17" s="139" t="n">
        <v>0.14</v>
      </c>
    </row>
    <row r="18" customFormat="false" ht="15" hidden="false" customHeight="false" outlineLevel="0" collapsed="false">
      <c r="A18" s="22" t="s">
        <v>1162</v>
      </c>
      <c r="B18" s="141" t="s">
        <v>1186</v>
      </c>
      <c r="C18" s="139" t="n">
        <v>0.095</v>
      </c>
      <c r="D18" s="139" t="n">
        <v>0.1075</v>
      </c>
      <c r="E18" s="139" t="n">
        <v>0.125</v>
      </c>
    </row>
    <row r="19" customFormat="false" ht="15" hidden="false" customHeight="false" outlineLevel="0" collapsed="false">
      <c r="A19" s="22" t="s">
        <v>149</v>
      </c>
      <c r="B19" s="141" t="s">
        <v>1186</v>
      </c>
      <c r="C19" s="142" t="n">
        <v>0</v>
      </c>
      <c r="D19" s="142" t="n">
        <v>1</v>
      </c>
      <c r="E19" s="142" t="n">
        <v>8</v>
      </c>
    </row>
    <row r="20" customFormat="false" ht="15" hidden="false" customHeight="false" outlineLevel="0" collapsed="false">
      <c r="A20" s="22" t="s">
        <v>1193</v>
      </c>
      <c r="B20" s="141" t="s">
        <v>1186</v>
      </c>
      <c r="C20" s="143" t="n">
        <v>9</v>
      </c>
      <c r="D20" s="143" t="n">
        <v>13</v>
      </c>
      <c r="E20" s="143" t="n">
        <v>16.5</v>
      </c>
    </row>
    <row r="22" customFormat="false" ht="15" hidden="false" customHeight="false" outlineLevel="0" collapsed="false">
      <c r="A22" s="14" t="s">
        <v>1194</v>
      </c>
    </row>
    <row r="23" customFormat="false" ht="15" hidden="false" customHeight="false" outlineLevel="0" collapsed="false">
      <c r="A23" s="14" t="s">
        <v>1195</v>
      </c>
    </row>
    <row r="25" customFormat="false" ht="15" hidden="false" customHeight="false" outlineLevel="0" collapsed="false">
      <c r="A25" s="19" t="s">
        <v>1196</v>
      </c>
      <c r="B25" s="20"/>
      <c r="C25" s="20"/>
      <c r="D25" s="20"/>
      <c r="E25" s="20"/>
      <c r="F25" s="20"/>
      <c r="G25" s="20"/>
    </row>
    <row r="26" customFormat="false" ht="27.75" hidden="false" customHeight="true" outlineLevel="0" collapsed="false">
      <c r="A26" s="44" t="s">
        <v>1197</v>
      </c>
      <c r="B26" s="44" t="s">
        <v>1198</v>
      </c>
      <c r="C26" s="44" t="s">
        <v>1185</v>
      </c>
      <c r="D26" s="44" t="s">
        <v>1199</v>
      </c>
      <c r="E26" s="44" t="s">
        <v>1200</v>
      </c>
      <c r="F26" s="44" t="s">
        <v>1201</v>
      </c>
      <c r="G26" s="44" t="s">
        <v>1202</v>
      </c>
      <c r="H26" s="44" t="s">
        <v>1203</v>
      </c>
    </row>
    <row r="27" customFormat="false" ht="15" hidden="false" customHeight="false" outlineLevel="0" collapsed="false">
      <c r="A27" s="144" t="s">
        <v>893</v>
      </c>
      <c r="B27" s="78" t="n">
        <v>0.221974681154254</v>
      </c>
      <c r="C27" s="78" t="n">
        <v>0.0908240733729728</v>
      </c>
      <c r="D27" s="78" t="n">
        <v>0.0665831310964131</v>
      </c>
      <c r="E27" s="78" t="n">
        <v>0.177692605075754</v>
      </c>
      <c r="F27" s="78" t="n">
        <v>0.23391761436983</v>
      </c>
      <c r="G27" s="78" t="n">
        <v>0.281827269557289</v>
      </c>
      <c r="H27" s="78" t="n">
        <v>0.341201352119388</v>
      </c>
    </row>
    <row r="28" customFormat="false" ht="15" hidden="false" customHeight="false" outlineLevel="0" collapsed="false">
      <c r="A28" s="144" t="s">
        <v>1113</v>
      </c>
      <c r="B28" s="129" t="n">
        <v>1.24661333501412</v>
      </c>
      <c r="C28" s="129" t="n">
        <v>0.379600215310212</v>
      </c>
      <c r="D28" s="129" t="n">
        <v>0.608526260620857</v>
      </c>
      <c r="E28" s="129" t="n">
        <v>0.975060233710539</v>
      </c>
      <c r="F28" s="129" t="n">
        <v>1.25597739926444</v>
      </c>
      <c r="G28" s="129" t="n">
        <v>1.53524735942478</v>
      </c>
      <c r="H28" s="129" t="n">
        <v>1.84392466386549</v>
      </c>
    </row>
    <row r="29" customFormat="false" ht="15" hidden="false" customHeight="false" outlineLevel="0" collapsed="false">
      <c r="A29" s="144" t="s">
        <v>1204</v>
      </c>
      <c r="B29" s="123" t="n">
        <v>9331.76970315906</v>
      </c>
      <c r="C29" s="123" t="n">
        <v>7059.02709979856</v>
      </c>
      <c r="D29" s="123" t="n">
        <v>-1633.42826188977</v>
      </c>
      <c r="E29" s="123" t="n">
        <v>4381.40216764611</v>
      </c>
      <c r="F29" s="123" t="n">
        <v>8968.83255969701</v>
      </c>
      <c r="G29" s="123" t="n">
        <v>13911.506411916</v>
      </c>
      <c r="H29" s="123" t="n">
        <v>21645.3264034988</v>
      </c>
    </row>
    <row r="30" customFormat="false" ht="15" hidden="false" customHeight="false" outlineLevel="0" collapsed="false">
      <c r="A30" s="144" t="s">
        <v>1078</v>
      </c>
      <c r="B30" s="126" t="n">
        <v>0.219471252773587</v>
      </c>
      <c r="C30" s="126" t="n">
        <v>0.046968534678348</v>
      </c>
      <c r="D30" s="126" t="n">
        <v>0.137187195942412</v>
      </c>
      <c r="E30" s="126" t="n">
        <v>0.188541348782593</v>
      </c>
      <c r="F30" s="126" t="n">
        <v>0.22224262782529</v>
      </c>
      <c r="G30" s="126" t="n">
        <v>0.252263981291834</v>
      </c>
      <c r="H30" s="126" t="n">
        <v>0.29134812375839</v>
      </c>
    </row>
    <row r="31" customFormat="false" ht="15" hidden="false" customHeight="false" outlineLevel="0" collapsed="false">
      <c r="A31" s="144" t="s">
        <v>1076</v>
      </c>
      <c r="B31" s="123" t="n">
        <v>2270.2166831927</v>
      </c>
      <c r="C31" s="123" t="n">
        <v>680.408018421497</v>
      </c>
      <c r="D31" s="123" t="n">
        <v>1177.89192845196</v>
      </c>
      <c r="E31" s="123" t="n">
        <v>1789.06868463057</v>
      </c>
      <c r="F31" s="123" t="n">
        <v>2252.79575691136</v>
      </c>
      <c r="G31" s="123" t="n">
        <v>2720.06446930146</v>
      </c>
      <c r="H31" s="123" t="n">
        <v>3416.71908066632</v>
      </c>
    </row>
    <row r="33" customFormat="false" ht="15" hidden="false" customHeight="false" outlineLevel="0" collapsed="false">
      <c r="A33" s="19" t="s">
        <v>1205</v>
      </c>
      <c r="B33" s="20"/>
      <c r="C33" s="20"/>
      <c r="D33" s="20"/>
      <c r="E33" s="20"/>
      <c r="F33" s="20"/>
      <c r="G33" s="20"/>
    </row>
    <row r="34" customFormat="false" ht="15" hidden="false" customHeight="false" outlineLevel="0" collapsed="false">
      <c r="A34" s="22" t="s">
        <v>1206</v>
      </c>
      <c r="C34" s="25" t="n">
        <v>0.9138</v>
      </c>
      <c r="I34" s="14" t="s">
        <v>1207</v>
      </c>
    </row>
    <row r="35" customFormat="false" ht="15" hidden="false" customHeight="false" outlineLevel="0" collapsed="false">
      <c r="A35" s="22" t="s">
        <v>1208</v>
      </c>
      <c r="C35" s="25" t="n">
        <v>0.8904</v>
      </c>
      <c r="I35" s="14"/>
    </row>
    <row r="36" customFormat="false" ht="15" hidden="false" customHeight="false" outlineLevel="0" collapsed="false">
      <c r="A36" s="22" t="s">
        <v>1209</v>
      </c>
      <c r="C36" s="25" t="n">
        <v>0.8282</v>
      </c>
      <c r="I36" s="14"/>
    </row>
    <row r="37" customFormat="false" ht="15" hidden="false" customHeight="false" outlineLevel="0" collapsed="false">
      <c r="A37" s="22" t="s">
        <v>1210</v>
      </c>
      <c r="C37" s="25" t="n">
        <v>0.7408</v>
      </c>
      <c r="I37" s="14"/>
    </row>
    <row r="38" customFormat="false" ht="15" hidden="false" customHeight="false" outlineLevel="0" collapsed="false">
      <c r="A38" s="22" t="s">
        <v>1211</v>
      </c>
      <c r="C38" s="25" t="n">
        <v>0.4162</v>
      </c>
      <c r="I38" s="14"/>
    </row>
    <row r="40" customFormat="false" ht="15" hidden="false" customHeight="false" outlineLevel="0" collapsed="false">
      <c r="A40" s="22" t="s">
        <v>1212</v>
      </c>
      <c r="C40" s="25" t="n">
        <v>0.4107</v>
      </c>
      <c r="I40" s="14"/>
    </row>
    <row r="41" customFormat="false" ht="15" hidden="false" customHeight="false" outlineLevel="0" collapsed="false">
      <c r="A41" s="145" t="s">
        <v>1213</v>
      </c>
      <c r="C41" s="146" t="n">
        <v>0.5065</v>
      </c>
      <c r="I41" s="14" t="s">
        <v>1214</v>
      </c>
    </row>
    <row r="42" customFormat="false" ht="15" hidden="false" customHeight="false" outlineLevel="0" collapsed="false">
      <c r="A42" s="22" t="s">
        <v>1215</v>
      </c>
      <c r="C42" s="25" t="n">
        <v>0.6433</v>
      </c>
      <c r="I42" s="14"/>
    </row>
    <row r="43" customFormat="false" ht="15" hidden="false" customHeight="false" outlineLevel="0" collapsed="false">
      <c r="A43" s="145" t="s">
        <v>1216</v>
      </c>
      <c r="C43" s="146" t="n">
        <v>0.2671</v>
      </c>
      <c r="I43" s="14" t="s">
        <v>1217</v>
      </c>
    </row>
    <row r="45" customFormat="false" ht="15" hidden="false" customHeight="false" outlineLevel="0" collapsed="false">
      <c r="A45" s="22" t="s">
        <v>1218</v>
      </c>
      <c r="C45" s="25" t="n">
        <v>0.0249</v>
      </c>
      <c r="I45" s="14"/>
    </row>
    <row r="46" customFormat="false" ht="15" hidden="false" customHeight="false" outlineLevel="0" collapsed="false">
      <c r="A46" s="22" t="s">
        <v>1219</v>
      </c>
      <c r="C46" s="25" t="n">
        <v>0.323</v>
      </c>
      <c r="I46" s="14"/>
    </row>
    <row r="48" customFormat="false" ht="15" hidden="false" customHeight="false" outlineLevel="0" collapsed="false">
      <c r="A48" s="19" t="s">
        <v>1220</v>
      </c>
      <c r="B48" s="20"/>
      <c r="C48" s="20"/>
      <c r="D48" s="20"/>
      <c r="E48" s="20"/>
      <c r="F48" s="20"/>
      <c r="G48" s="20"/>
    </row>
    <row r="49" customFormat="false" ht="15" hidden="false" customHeight="false" outlineLevel="0" collapsed="false">
      <c r="A49" s="147" t="s">
        <v>1221</v>
      </c>
      <c r="B49" s="147" t="s">
        <v>1178</v>
      </c>
      <c r="C49" s="147" t="s">
        <v>1222</v>
      </c>
      <c r="D49" s="147" t="s">
        <v>1223</v>
      </c>
    </row>
    <row r="50" customFormat="false" ht="15" hidden="false" customHeight="false" outlineLevel="0" collapsed="false">
      <c r="A50" s="148" t="s">
        <v>1224</v>
      </c>
      <c r="B50" s="123" t="n">
        <v>22</v>
      </c>
      <c r="C50" s="126" t="n">
        <v>0.0022</v>
      </c>
      <c r="D50" s="126" t="n">
        <v>0.0022</v>
      </c>
    </row>
    <row r="51" customFormat="false" ht="15" hidden="false" customHeight="false" outlineLevel="0" collapsed="false">
      <c r="A51" s="148" t="s">
        <v>1225</v>
      </c>
      <c r="B51" s="123" t="n">
        <v>19</v>
      </c>
      <c r="C51" s="126" t="n">
        <v>0.0019</v>
      </c>
      <c r="D51" s="126" t="n">
        <v>0.0041</v>
      </c>
    </row>
    <row r="52" customFormat="false" ht="15" hidden="false" customHeight="false" outlineLevel="0" collapsed="false">
      <c r="A52" s="148" t="s">
        <v>1226</v>
      </c>
      <c r="B52" s="123" t="n">
        <v>51</v>
      </c>
      <c r="C52" s="126" t="n">
        <v>0.0051</v>
      </c>
      <c r="D52" s="126" t="n">
        <v>0.0092</v>
      </c>
    </row>
    <row r="53" customFormat="false" ht="15" hidden="false" customHeight="false" outlineLevel="0" collapsed="false">
      <c r="A53" s="148" t="s">
        <v>1227</v>
      </c>
      <c r="B53" s="123" t="n">
        <v>60</v>
      </c>
      <c r="C53" s="126" t="n">
        <v>0.006</v>
      </c>
      <c r="D53" s="126" t="n">
        <v>0.0152</v>
      </c>
    </row>
    <row r="54" customFormat="false" ht="15" hidden="false" customHeight="false" outlineLevel="0" collapsed="false">
      <c r="A54" s="148" t="s">
        <v>1228</v>
      </c>
      <c r="B54" s="123" t="n">
        <v>79</v>
      </c>
      <c r="C54" s="126" t="n">
        <v>0.0079</v>
      </c>
      <c r="D54" s="126" t="n">
        <v>0.0231</v>
      </c>
    </row>
    <row r="55" customFormat="false" ht="15" hidden="false" customHeight="false" outlineLevel="0" collapsed="false">
      <c r="A55" s="148" t="s">
        <v>1229</v>
      </c>
      <c r="B55" s="123" t="n">
        <v>101</v>
      </c>
      <c r="C55" s="126" t="n">
        <v>0.0101</v>
      </c>
      <c r="D55" s="126" t="n">
        <v>0.0332</v>
      </c>
    </row>
    <row r="56" customFormat="false" ht="15" hidden="false" customHeight="false" outlineLevel="0" collapsed="false">
      <c r="A56" s="148" t="s">
        <v>1230</v>
      </c>
      <c r="B56" s="123" t="n">
        <v>160</v>
      </c>
      <c r="C56" s="126" t="n">
        <v>0.016</v>
      </c>
      <c r="D56" s="126" t="n">
        <v>0.0492</v>
      </c>
    </row>
    <row r="57" customFormat="false" ht="15" hidden="false" customHeight="false" outlineLevel="0" collapsed="false">
      <c r="A57" s="148" t="s">
        <v>1231</v>
      </c>
      <c r="B57" s="123" t="n">
        <v>240</v>
      </c>
      <c r="C57" s="126" t="n">
        <v>0.024</v>
      </c>
      <c r="D57" s="126" t="n">
        <v>0.0732</v>
      </c>
    </row>
    <row r="58" customFormat="false" ht="15" hidden="false" customHeight="false" outlineLevel="0" collapsed="false">
      <c r="A58" s="148" t="s">
        <v>1232</v>
      </c>
      <c r="B58" s="123" t="n">
        <v>364</v>
      </c>
      <c r="C58" s="126" t="n">
        <v>0.0364</v>
      </c>
      <c r="D58" s="126" t="n">
        <v>0.1096</v>
      </c>
    </row>
    <row r="59" customFormat="false" ht="15" hidden="false" customHeight="false" outlineLevel="0" collapsed="false">
      <c r="A59" s="148" t="s">
        <v>1233</v>
      </c>
      <c r="B59" s="123" t="n">
        <v>525</v>
      </c>
      <c r="C59" s="126" t="n">
        <v>0.0525</v>
      </c>
      <c r="D59" s="126" t="n">
        <v>0.1621</v>
      </c>
    </row>
    <row r="60" customFormat="false" ht="15" hidden="false" customHeight="false" outlineLevel="0" collapsed="false">
      <c r="A60" s="148" t="s">
        <v>1234</v>
      </c>
      <c r="B60" s="123" t="n">
        <v>717</v>
      </c>
      <c r="C60" s="126" t="n">
        <v>0.0717</v>
      </c>
      <c r="D60" s="126" t="n">
        <v>0.2338</v>
      </c>
    </row>
    <row r="61" customFormat="false" ht="15" hidden="false" customHeight="false" outlineLevel="0" collapsed="false">
      <c r="A61" s="148" t="s">
        <v>1235</v>
      </c>
      <c r="B61" s="123" t="n">
        <v>938</v>
      </c>
      <c r="C61" s="126" t="n">
        <v>0.0938</v>
      </c>
      <c r="D61" s="126" t="n">
        <v>0.3276</v>
      </c>
    </row>
    <row r="62" customFormat="false" ht="15" hidden="false" customHeight="false" outlineLevel="0" collapsed="false">
      <c r="A62" s="148" t="s">
        <v>1236</v>
      </c>
      <c r="B62" s="123" t="n">
        <v>1190</v>
      </c>
      <c r="C62" s="126" t="n">
        <v>0.119</v>
      </c>
      <c r="D62" s="126" t="n">
        <v>0.4466</v>
      </c>
    </row>
    <row r="63" customFormat="false" ht="15" hidden="false" customHeight="false" outlineLevel="0" collapsed="false">
      <c r="A63" s="148" t="s">
        <v>1237</v>
      </c>
      <c r="B63" s="123" t="n">
        <v>1275</v>
      </c>
      <c r="C63" s="126" t="n">
        <v>0.1275</v>
      </c>
      <c r="D63" s="126" t="n">
        <v>0.5741</v>
      </c>
    </row>
    <row r="64" customFormat="false" ht="15" hidden="false" customHeight="false" outlineLevel="0" collapsed="false">
      <c r="A64" s="148" t="s">
        <v>1238</v>
      </c>
      <c r="B64" s="123" t="n">
        <v>1359</v>
      </c>
      <c r="C64" s="126" t="n">
        <v>0.1359</v>
      </c>
      <c r="D64" s="126" t="n">
        <v>0.71</v>
      </c>
    </row>
    <row r="65" customFormat="false" ht="15" hidden="false" customHeight="false" outlineLevel="0" collapsed="false">
      <c r="A65" s="148" t="s">
        <v>1239</v>
      </c>
      <c r="B65" s="123" t="n">
        <v>1106</v>
      </c>
      <c r="C65" s="126" t="n">
        <v>0.1106</v>
      </c>
      <c r="D65" s="126" t="n">
        <v>0.8206</v>
      </c>
    </row>
    <row r="66" customFormat="false" ht="15" hidden="false" customHeight="false" outlineLevel="0" collapsed="false">
      <c r="A66" s="148" t="s">
        <v>1240</v>
      </c>
      <c r="B66" s="123" t="n">
        <v>842</v>
      </c>
      <c r="C66" s="126" t="n">
        <v>0.0842</v>
      </c>
      <c r="D66" s="126" t="n">
        <v>0.9048</v>
      </c>
    </row>
    <row r="67" customFormat="false" ht="15" hidden="false" customHeight="false" outlineLevel="0" collapsed="false">
      <c r="A67" s="148" t="s">
        <v>1241</v>
      </c>
      <c r="B67" s="123" t="n">
        <v>507</v>
      </c>
      <c r="C67" s="126" t="n">
        <v>0.0507</v>
      </c>
      <c r="D67" s="126" t="n">
        <v>0.9555</v>
      </c>
    </row>
    <row r="68" customFormat="false" ht="15" hidden="false" customHeight="false" outlineLevel="0" collapsed="false">
      <c r="A68" s="148" t="s">
        <v>1242</v>
      </c>
      <c r="B68" s="123" t="n">
        <v>244</v>
      </c>
      <c r="C68" s="126" t="n">
        <v>0.0244</v>
      </c>
      <c r="D68" s="126" t="n">
        <v>0.9799</v>
      </c>
    </row>
    <row r="69" customFormat="false" ht="15" hidden="false" customHeight="false" outlineLevel="0" collapsed="false">
      <c r="A69" s="148" t="s">
        <v>1243</v>
      </c>
      <c r="B69" s="123" t="n">
        <v>81</v>
      </c>
      <c r="C69" s="126" t="n">
        <v>0.0081</v>
      </c>
      <c r="D69" s="126" t="n">
        <v>0.988</v>
      </c>
    </row>
    <row r="70" customFormat="false" ht="15" hidden="false" customHeight="false" outlineLevel="0" collapsed="false">
      <c r="A70" s="148" t="s">
        <v>1244</v>
      </c>
      <c r="B70" s="123" t="n">
        <v>18</v>
      </c>
      <c r="C70" s="126" t="n">
        <v>0.0018</v>
      </c>
      <c r="D70" s="126" t="n">
        <v>0.9898</v>
      </c>
    </row>
    <row r="71" customFormat="false" ht="15" hidden="false" customHeight="false" outlineLevel="0" collapsed="false">
      <c r="A71" s="148" t="s">
        <v>1245</v>
      </c>
      <c r="B71" s="123" t="n">
        <v>4</v>
      </c>
      <c r="C71" s="126" t="n">
        <v>0.0004</v>
      </c>
      <c r="D71" s="126" t="n">
        <v>0.9902</v>
      </c>
    </row>
    <row r="72" customFormat="false" ht="15" hidden="false" customHeight="false" outlineLevel="0" collapsed="false">
      <c r="A72" s="148" t="s">
        <v>1246</v>
      </c>
      <c r="B72" s="123" t="n">
        <v>0</v>
      </c>
      <c r="C72" s="126" t="n">
        <v>0</v>
      </c>
      <c r="D72" s="126" t="n">
        <v>0.9902</v>
      </c>
    </row>
    <row r="74" customFormat="false" ht="15" hidden="false" customHeight="false" outlineLevel="0" collapsed="false">
      <c r="A74" s="19" t="s">
        <v>1247</v>
      </c>
      <c r="B74" s="20"/>
      <c r="C74" s="20"/>
      <c r="D74" s="20"/>
      <c r="E74" s="20"/>
      <c r="F74" s="20"/>
      <c r="G74" s="20"/>
    </row>
    <row r="75" customFormat="false" ht="15" hidden="false" customHeight="false" outlineLevel="0" collapsed="false">
      <c r="A75" s="147" t="s">
        <v>1248</v>
      </c>
      <c r="B75" s="147" t="s">
        <v>1178</v>
      </c>
      <c r="C75" s="147" t="s">
        <v>1222</v>
      </c>
      <c r="D75" s="147" t="s">
        <v>1223</v>
      </c>
    </row>
    <row r="76" customFormat="false" ht="15" hidden="false" customHeight="false" outlineLevel="0" collapsed="false">
      <c r="A76" s="149" t="s">
        <v>1249</v>
      </c>
      <c r="B76" s="150" t="n">
        <v>4</v>
      </c>
      <c r="C76" s="151" t="n">
        <v>0.0004</v>
      </c>
      <c r="D76" s="151" t="n">
        <v>0.0004</v>
      </c>
    </row>
    <row r="77" customFormat="false" ht="15" hidden="false" customHeight="false" outlineLevel="0" collapsed="false">
      <c r="A77" s="149" t="s">
        <v>1250</v>
      </c>
      <c r="B77" s="150" t="n">
        <v>22</v>
      </c>
      <c r="C77" s="151" t="n">
        <v>0.0022</v>
      </c>
      <c r="D77" s="151" t="n">
        <v>0.0026</v>
      </c>
    </row>
    <row r="78" customFormat="false" ht="15" hidden="false" customHeight="false" outlineLevel="0" collapsed="false">
      <c r="A78" s="149" t="s">
        <v>1251</v>
      </c>
      <c r="B78" s="150" t="n">
        <v>62</v>
      </c>
      <c r="C78" s="151" t="n">
        <v>0.0062</v>
      </c>
      <c r="D78" s="151" t="n">
        <v>0.0088</v>
      </c>
    </row>
    <row r="79" customFormat="false" ht="15" hidden="false" customHeight="false" outlineLevel="0" collapsed="false">
      <c r="A79" s="149" t="s">
        <v>1252</v>
      </c>
      <c r="B79" s="150" t="n">
        <v>147</v>
      </c>
      <c r="C79" s="151" t="n">
        <v>0.0147</v>
      </c>
      <c r="D79" s="151" t="n">
        <v>0.0235</v>
      </c>
    </row>
    <row r="80" customFormat="false" ht="15" hidden="false" customHeight="false" outlineLevel="0" collapsed="false">
      <c r="A80" s="149" t="s">
        <v>1253</v>
      </c>
      <c r="B80" s="150" t="n">
        <v>321</v>
      </c>
      <c r="C80" s="151" t="n">
        <v>0.0321</v>
      </c>
      <c r="D80" s="151" t="n">
        <v>0.0556</v>
      </c>
    </row>
    <row r="81" customFormat="false" ht="15" hidden="false" customHeight="false" outlineLevel="0" collapsed="false">
      <c r="A81" s="149" t="s">
        <v>1254</v>
      </c>
      <c r="B81" s="150" t="n">
        <v>500</v>
      </c>
      <c r="C81" s="151" t="n">
        <v>0.05</v>
      </c>
      <c r="D81" s="151" t="n">
        <v>0.1056</v>
      </c>
    </row>
    <row r="82" customFormat="false" ht="15" hidden="false" customHeight="false" outlineLevel="0" collapsed="false">
      <c r="A82" s="149" t="s">
        <v>1255</v>
      </c>
      <c r="B82" s="150" t="n">
        <v>706</v>
      </c>
      <c r="C82" s="151" t="n">
        <v>0.0706</v>
      </c>
      <c r="D82" s="151" t="n">
        <v>0.1762</v>
      </c>
    </row>
    <row r="83" customFormat="false" ht="15" hidden="false" customHeight="false" outlineLevel="0" collapsed="false">
      <c r="A83" s="149" t="s">
        <v>1256</v>
      </c>
      <c r="B83" s="150" t="n">
        <v>905</v>
      </c>
      <c r="C83" s="151" t="n">
        <v>0.0905</v>
      </c>
      <c r="D83" s="151" t="n">
        <v>0.2667</v>
      </c>
    </row>
    <row r="84" customFormat="false" ht="15" hidden="false" customHeight="false" outlineLevel="0" collapsed="false">
      <c r="A84" s="149" t="s">
        <v>1257</v>
      </c>
      <c r="B84" s="150" t="n">
        <v>1114</v>
      </c>
      <c r="C84" s="151" t="n">
        <v>0.1114</v>
      </c>
      <c r="D84" s="151" t="n">
        <v>0.3781</v>
      </c>
    </row>
    <row r="85" customFormat="false" ht="15" hidden="false" customHeight="false" outlineLevel="0" collapsed="false">
      <c r="A85" s="149" t="s">
        <v>1258</v>
      </c>
      <c r="B85" s="150" t="n">
        <v>1150</v>
      </c>
      <c r="C85" s="151" t="n">
        <v>0.115</v>
      </c>
      <c r="D85" s="151" t="n">
        <v>0.4931</v>
      </c>
    </row>
    <row r="86" customFormat="false" ht="15" hidden="false" customHeight="false" outlineLevel="0" collapsed="false">
      <c r="A86" s="148" t="s">
        <v>1259</v>
      </c>
      <c r="B86" s="123" t="n">
        <v>1173</v>
      </c>
      <c r="C86" s="126" t="n">
        <v>0.1173</v>
      </c>
      <c r="D86" s="126" t="n">
        <v>0.6104</v>
      </c>
    </row>
    <row r="87" customFormat="false" ht="15" hidden="false" customHeight="false" outlineLevel="0" collapsed="false">
      <c r="A87" s="148" t="s">
        <v>1260</v>
      </c>
      <c r="B87" s="123" t="n">
        <v>1110</v>
      </c>
      <c r="C87" s="126" t="n">
        <v>0.111</v>
      </c>
      <c r="D87" s="126" t="n">
        <v>0.7214</v>
      </c>
    </row>
    <row r="88" customFormat="false" ht="15" hidden="false" customHeight="false" outlineLevel="0" collapsed="false">
      <c r="A88" s="148" t="s">
        <v>1261</v>
      </c>
      <c r="B88" s="123" t="n">
        <v>953</v>
      </c>
      <c r="C88" s="126" t="n">
        <v>0.0953</v>
      </c>
      <c r="D88" s="126" t="n">
        <v>0.8167</v>
      </c>
    </row>
    <row r="89" customFormat="false" ht="15" hidden="false" customHeight="false" outlineLevel="0" collapsed="false">
      <c r="A89" s="148" t="s">
        <v>1262</v>
      </c>
      <c r="B89" s="123" t="n">
        <v>938</v>
      </c>
      <c r="C89" s="126" t="n">
        <v>0.0938</v>
      </c>
      <c r="D89" s="126" t="n">
        <v>0.9105</v>
      </c>
    </row>
    <row r="90" customFormat="false" ht="15" hidden="false" customHeight="false" outlineLevel="0" collapsed="false">
      <c r="A90" s="148" t="s">
        <v>1263</v>
      </c>
      <c r="B90" s="123" t="n">
        <v>506</v>
      </c>
      <c r="C90" s="126" t="n">
        <v>0.0506</v>
      </c>
      <c r="D90" s="126" t="n">
        <v>0.9611</v>
      </c>
    </row>
    <row r="91" customFormat="false" ht="15" hidden="false" customHeight="false" outlineLevel="0" collapsed="false">
      <c r="A91" s="148" t="s">
        <v>1264</v>
      </c>
      <c r="B91" s="123" t="n">
        <v>292</v>
      </c>
      <c r="C91" s="126" t="n">
        <v>0.0292</v>
      </c>
      <c r="D91" s="126" t="n">
        <v>0.9903</v>
      </c>
    </row>
    <row r="92" customFormat="false" ht="15" hidden="false" customHeight="false" outlineLevel="0" collapsed="false">
      <c r="A92" s="148" t="s">
        <v>1265</v>
      </c>
      <c r="B92" s="123" t="n">
        <v>52</v>
      </c>
      <c r="C92" s="126" t="n">
        <v>0.0052</v>
      </c>
      <c r="D92" s="126" t="n">
        <v>0.9955</v>
      </c>
    </row>
    <row r="93" customFormat="false" ht="15" hidden="false" customHeight="false" outlineLevel="0" collapsed="false">
      <c r="A93" s="148" t="s">
        <v>1266</v>
      </c>
      <c r="B93" s="123" t="n">
        <v>27</v>
      </c>
      <c r="C93" s="126" t="n">
        <v>0.0027</v>
      </c>
      <c r="D93" s="126" t="n">
        <v>0.9982</v>
      </c>
    </row>
    <row r="94" customFormat="false" ht="15" hidden="false" customHeight="false" outlineLevel="0" collapsed="false">
      <c r="A94" s="148" t="s">
        <v>1267</v>
      </c>
      <c r="B94" s="123" t="n">
        <v>12</v>
      </c>
      <c r="C94" s="126" t="n">
        <v>0.0012</v>
      </c>
      <c r="D94" s="126" t="n">
        <v>0.9994</v>
      </c>
    </row>
    <row r="95" customFormat="false" ht="15" hidden="false" customHeight="false" outlineLevel="0" collapsed="false">
      <c r="A95" s="148" t="s">
        <v>1268</v>
      </c>
      <c r="B95" s="123" t="n">
        <v>1</v>
      </c>
      <c r="C95" s="126" t="n">
        <v>0.0001</v>
      </c>
      <c r="D95" s="126" t="n">
        <v>0.9995</v>
      </c>
    </row>
    <row r="96" customFormat="false" ht="15" hidden="false" customHeight="false" outlineLevel="0" collapsed="false">
      <c r="A96" s="148" t="s">
        <v>1269</v>
      </c>
      <c r="B96" s="123" t="n">
        <v>0</v>
      </c>
      <c r="C96" s="126" t="n">
        <v>0</v>
      </c>
      <c r="D96" s="126" t="n">
        <v>0.9995</v>
      </c>
    </row>
    <row r="97" customFormat="false" ht="15" hidden="false" customHeight="false" outlineLevel="0" collapsed="false">
      <c r="A97" s="148" t="s">
        <v>1270</v>
      </c>
      <c r="B97" s="123" t="n">
        <v>1</v>
      </c>
      <c r="C97" s="126" t="n">
        <v>0.0001</v>
      </c>
      <c r="D97" s="126" t="n">
        <v>0.9996</v>
      </c>
    </row>
    <row r="98" customFormat="false" ht="15" hidden="false" customHeight="false" outlineLevel="0" collapsed="false">
      <c r="A98" s="148" t="s">
        <v>1271</v>
      </c>
      <c r="B98" s="123" t="n">
        <v>0</v>
      </c>
      <c r="C98" s="126" t="n">
        <v>0</v>
      </c>
      <c r="D98" s="126" t="n">
        <v>0.9996</v>
      </c>
    </row>
    <row r="100" customFormat="false" ht="15" hidden="false" customHeight="false" outlineLevel="0" collapsed="false">
      <c r="A100" s="19" t="s">
        <v>1272</v>
      </c>
      <c r="B100" s="20"/>
      <c r="C100" s="20"/>
      <c r="D100" s="20"/>
      <c r="E100" s="20"/>
      <c r="F100" s="20"/>
      <c r="G100" s="20"/>
    </row>
    <row r="101" customFormat="false" ht="15" hidden="false" customHeight="false" outlineLevel="0" collapsed="false">
      <c r="A101" s="7" t="s">
        <v>1273</v>
      </c>
    </row>
    <row r="102" customFormat="false" ht="15" hidden="false" customHeight="false" outlineLevel="0" collapsed="false">
      <c r="A102" s="7" t="s">
        <v>1274</v>
      </c>
    </row>
    <row r="103" customFormat="false" ht="15" hidden="false" customHeight="false" outlineLevel="0" collapsed="false">
      <c r="A103" s="7" t="s">
        <v>1275</v>
      </c>
    </row>
    <row r="105" customFormat="false" ht="27.75" hidden="false" customHeight="true" outlineLevel="0" collapsed="false">
      <c r="A105" s="44" t="s">
        <v>1276</v>
      </c>
      <c r="B105" s="44" t="s">
        <v>1277</v>
      </c>
      <c r="C105" s="44" t="s">
        <v>533</v>
      </c>
    </row>
    <row r="106" customFormat="false" ht="15" hidden="false" customHeight="false" outlineLevel="0" collapsed="false">
      <c r="A106" s="22" t="s">
        <v>1278</v>
      </c>
      <c r="B106" s="123" t="n">
        <v>413.788407824406</v>
      </c>
      <c r="C106" s="133" t="n">
        <v>4.13788407824406</v>
      </c>
    </row>
    <row r="107" customFormat="false" ht="15" hidden="false" customHeight="false" outlineLevel="0" collapsed="false">
      <c r="A107" s="22" t="s">
        <v>1279</v>
      </c>
      <c r="B107" s="123" t="n">
        <v>696.60603801162</v>
      </c>
      <c r="C107" s="133" t="n">
        <v>6.9660603801162</v>
      </c>
    </row>
    <row r="108" customFormat="false" ht="15" hidden="false" customHeight="false" outlineLevel="0" collapsed="false">
      <c r="A108" s="22" t="s">
        <v>1280</v>
      </c>
      <c r="B108" s="123" t="n">
        <v>1154.48530514944</v>
      </c>
      <c r="C108" s="133" t="n">
        <v>11.5448530514944</v>
      </c>
    </row>
    <row r="109" customFormat="false" ht="15" hidden="false" customHeight="false" outlineLevel="0" collapsed="false">
      <c r="A109" s="22" t="s">
        <v>1281</v>
      </c>
      <c r="B109" s="123" t="n">
        <v>1520.73231609334</v>
      </c>
      <c r="C109" s="133" t="n">
        <v>15.2073231609334</v>
      </c>
    </row>
    <row r="110" customFormat="false" ht="15" hidden="false" customHeight="false" outlineLevel="0" collapsed="false">
      <c r="A110" s="22" t="s">
        <v>1282</v>
      </c>
      <c r="B110" s="123" t="n">
        <v>1893.59062480937</v>
      </c>
      <c r="C110" s="133" t="n">
        <v>18.9359062480937</v>
      </c>
    </row>
    <row r="111" customFormat="false" ht="15" hidden="false" customHeight="false" outlineLevel="0" collapsed="false">
      <c r="A111" s="144" t="s">
        <v>1283</v>
      </c>
      <c r="B111" s="130" t="n">
        <v>2509.20845162859</v>
      </c>
      <c r="C111" s="133" t="n">
        <v>25.0920845162859</v>
      </c>
      <c r="E111" s="14" t="s">
        <v>1284</v>
      </c>
    </row>
    <row r="112" customFormat="false" ht="15" hidden="false" customHeight="false" outlineLevel="0" collapsed="false">
      <c r="A112" s="22" t="s">
        <v>1285</v>
      </c>
      <c r="B112" s="123" t="n">
        <v>3605.42294799528</v>
      </c>
      <c r="C112" s="133" t="n">
        <v>36.0542294799528</v>
      </c>
    </row>
    <row r="113" customFormat="false" ht="15" hidden="false" customHeight="false" outlineLevel="0" collapsed="false">
      <c r="A113" s="22" t="s">
        <v>1286</v>
      </c>
      <c r="B113" s="123" t="n">
        <v>5268.59610298108</v>
      </c>
      <c r="C113" s="133" t="n">
        <v>52.6859610298108</v>
      </c>
    </row>
    <row r="115" customFormat="false" ht="15" hidden="false" customHeight="false" outlineLevel="0" collapsed="false">
      <c r="A115" s="6" t="s">
        <v>1287</v>
      </c>
    </row>
    <row r="116" customFormat="false" ht="15" hidden="false" customHeight="false" outlineLevel="0" collapsed="false">
      <c r="A116" s="7"/>
    </row>
    <row r="117" customFormat="false" ht="15" hidden="false" customHeight="false" outlineLevel="0" collapsed="false">
      <c r="A117" s="7" t="s">
        <v>1288</v>
      </c>
    </row>
    <row r="118" customFormat="false" ht="15" hidden="false" customHeight="false" outlineLevel="0" collapsed="false">
      <c r="A118" s="7" t="s">
        <v>1289</v>
      </c>
    </row>
    <row r="119" customFormat="false" ht="15" hidden="false" customHeight="false" outlineLevel="0" collapsed="false">
      <c r="A119" s="7" t="s">
        <v>1290</v>
      </c>
    </row>
    <row r="120" customFormat="false" ht="15" hidden="false" customHeight="false" outlineLevel="0" collapsed="false">
      <c r="A120" s="7" t="s">
        <v>1291</v>
      </c>
    </row>
    <row r="121" customFormat="false" ht="15" hidden="false" customHeight="false" outlineLevel="0" collapsed="false">
      <c r="A121" s="7"/>
    </row>
    <row r="122" customFormat="false" ht="15" hidden="false" customHeight="false" outlineLevel="0" collapsed="false">
      <c r="A122" s="6" t="s">
        <v>1292</v>
      </c>
    </row>
    <row r="123" customFormat="false" ht="15" hidden="false" customHeight="false" outlineLevel="0" collapsed="false">
      <c r="A123" s="7" t="s">
        <v>1293</v>
      </c>
    </row>
    <row r="124" customFormat="false" ht="15" hidden="false" customHeight="false" outlineLevel="0" collapsed="false">
      <c r="A124" s="7" t="s">
        <v>1294</v>
      </c>
    </row>
    <row r="125" customFormat="false" ht="15" hidden="false" customHeight="false" outlineLevel="0" collapsed="false">
      <c r="A125" s="7" t="s">
        <v>1295</v>
      </c>
    </row>
    <row r="126" customFormat="false" ht="15" hidden="false" customHeight="false" outlineLevel="0" collapsed="false">
      <c r="A126" s="7" t="s">
        <v>1296</v>
      </c>
    </row>
    <row r="127" customFormat="false" ht="15" hidden="false" customHeight="false" outlineLevel="0" collapsed="false">
      <c r="A127" s="7" t="s">
        <v>1297</v>
      </c>
    </row>
    <row r="128" customFormat="false" ht="15" hidden="false" customHeight="false" outlineLevel="0" collapsed="false">
      <c r="A128" s="7" t="s">
        <v>1298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O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2" style="0" width="20"/>
    <col collapsed="false" customWidth="true" hidden="false" outlineLevel="0" max="6" min="6" style="0" width="3"/>
    <col collapsed="false" customWidth="true" hidden="false" outlineLevel="0" max="7" min="7" style="0" width="50"/>
    <col collapsed="false" customWidth="true" hidden="false" outlineLevel="0" max="16" min="8" style="0" width="13"/>
  </cols>
  <sheetData>
    <row r="1" customFormat="false" ht="24" hidden="false" customHeight="true" outlineLevel="0" collapsed="false">
      <c r="A1" s="15" t="s">
        <v>1299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" hidden="false" customHeight="false" outlineLevel="0" collapsed="false">
      <c r="A2" s="16" t="s">
        <v>1300</v>
      </c>
    </row>
    <row r="4" customFormat="false" ht="27.75" hidden="false" customHeight="true" outlineLevel="0" collapsed="false">
      <c r="A4" s="21" t="s">
        <v>938</v>
      </c>
      <c r="B4" s="21" t="s">
        <v>1301</v>
      </c>
      <c r="C4" s="21" t="s">
        <v>1302</v>
      </c>
      <c r="D4" s="21" t="s">
        <v>1303</v>
      </c>
      <c r="E4" s="21" t="s">
        <v>1304</v>
      </c>
    </row>
    <row r="5" customFormat="false" ht="15" hidden="false" customHeight="false" outlineLevel="0" collapsed="false">
      <c r="A5" s="22" t="s">
        <v>1071</v>
      </c>
      <c r="B5" s="123" t="n">
        <v>7754.25572682439</v>
      </c>
      <c r="C5" s="123" t="n">
        <v>7754.25572682439</v>
      </c>
      <c r="D5" s="123" t="n">
        <v>7172.96329700532</v>
      </c>
      <c r="E5" s="123" t="n">
        <v>6596.08087091757</v>
      </c>
    </row>
    <row r="6" customFormat="false" ht="15" hidden="false" customHeight="false" outlineLevel="0" collapsed="false">
      <c r="A6" s="22" t="s">
        <v>1305</v>
      </c>
      <c r="B6" s="123" t="n">
        <v>3323.25245435331</v>
      </c>
      <c r="C6" s="123" t="n">
        <v>3323.25245435331</v>
      </c>
      <c r="D6" s="123" t="n">
        <v>3862.36485223363</v>
      </c>
      <c r="E6" s="123" t="n">
        <v>4397.38724727838</v>
      </c>
    </row>
    <row r="7" customFormat="false" ht="15" hidden="false" customHeight="false" outlineLevel="0" collapsed="false">
      <c r="A7" s="22" t="s">
        <v>1306</v>
      </c>
      <c r="B7" s="123" t="n">
        <v>2545.83963259539</v>
      </c>
      <c r="C7" s="123" t="n">
        <v>1772.0618392549</v>
      </c>
      <c r="D7" s="123" t="n">
        <v>1578.78210634006</v>
      </c>
      <c r="E7" s="123" t="n">
        <v>1386.96869966588</v>
      </c>
    </row>
    <row r="8" customFormat="false" ht="15" hidden="false" customHeight="false" outlineLevel="0" collapsed="false">
      <c r="A8" s="22" t="s">
        <v>1072</v>
      </c>
      <c r="B8" s="123" t="n">
        <v>5869.09208694869</v>
      </c>
      <c r="C8" s="123" t="n">
        <v>5095.31429360821</v>
      </c>
      <c r="D8" s="123" t="n">
        <v>5441.14695857369</v>
      </c>
      <c r="E8" s="123" t="n">
        <v>5784.35594694427</v>
      </c>
    </row>
    <row r="9" customFormat="false" ht="15" hidden="false" customHeight="false" outlineLevel="0" collapsed="false">
      <c r="A9" s="22" t="s">
        <v>1307</v>
      </c>
      <c r="B9" s="123" t="n">
        <v>13623.3478137731</v>
      </c>
      <c r="C9" s="123" t="n">
        <v>12849.5700204326</v>
      </c>
      <c r="D9" s="123" t="n">
        <v>12614.110255579</v>
      </c>
      <c r="E9" s="123" t="n">
        <v>12380.4368178618</v>
      </c>
    </row>
    <row r="10" customFormat="false" ht="15" hidden="false" customHeight="false" outlineLevel="0" collapsed="false">
      <c r="A10" s="22" t="s">
        <v>1308</v>
      </c>
      <c r="B10" s="126" t="n">
        <v>0.7</v>
      </c>
      <c r="C10" s="126" t="n">
        <v>0.7</v>
      </c>
      <c r="D10" s="126" t="n">
        <v>0.65</v>
      </c>
      <c r="E10" s="126" t="n">
        <v>0.6</v>
      </c>
    </row>
    <row r="11" customFormat="false" ht="15" hidden="false" customHeight="false" outlineLevel="0" collapsed="false">
      <c r="A11" s="22" t="s">
        <v>1309</v>
      </c>
      <c r="B11" s="126" t="n">
        <v>0.569188706977363</v>
      </c>
      <c r="C11" s="126" t="n">
        <v>0.603464218218512</v>
      </c>
      <c r="D11" s="126" t="n">
        <v>0.568645996560307</v>
      </c>
      <c r="E11" s="126" t="n">
        <v>0.532782563972307</v>
      </c>
    </row>
    <row r="13" customFormat="false" ht="15" hidden="false" customHeight="false" outlineLevel="0" collapsed="false">
      <c r="A13" s="152" t="s">
        <v>1113</v>
      </c>
      <c r="B13" s="153" t="n">
        <v>0.271918427969611</v>
      </c>
      <c r="C13" s="128" t="n">
        <v>1.46136313211039</v>
      </c>
      <c r="D13" s="128" t="n">
        <v>1.5797910803291</v>
      </c>
      <c r="E13" s="128" t="n">
        <v>1.7179570199176</v>
      </c>
    </row>
    <row r="14" customFormat="false" ht="15" hidden="false" customHeight="false" outlineLevel="0" collapsed="false">
      <c r="A14" s="22" t="s">
        <v>1310</v>
      </c>
      <c r="B14" s="129" t="n">
        <v>1.62727889595145</v>
      </c>
      <c r="C14" s="129" t="n">
        <v>1.66200789609001</v>
      </c>
      <c r="D14" s="129" t="n">
        <v>1.78572535013162</v>
      </c>
      <c r="E14" s="129" t="n">
        <v>1.93006237984682</v>
      </c>
    </row>
    <row r="15" customFormat="false" ht="15" hidden="false" customHeight="false" outlineLevel="0" collapsed="false">
      <c r="A15" s="152" t="s">
        <v>1090</v>
      </c>
      <c r="B15" s="154" t="n">
        <v>2</v>
      </c>
      <c r="C15" s="130" t="n">
        <v>0</v>
      </c>
      <c r="D15" s="130" t="n">
        <v>0</v>
      </c>
      <c r="E15" s="130" t="n">
        <v>0</v>
      </c>
    </row>
    <row r="16" customFormat="false" ht="15" hidden="false" customHeight="false" outlineLevel="0" collapsed="false">
      <c r="A16" s="22" t="s">
        <v>1091</v>
      </c>
      <c r="B16" s="123" t="n">
        <v>150</v>
      </c>
      <c r="C16" s="123" t="n">
        <v>150</v>
      </c>
      <c r="D16" s="123" t="n">
        <v>150</v>
      </c>
      <c r="E16" s="123" t="n">
        <v>150</v>
      </c>
    </row>
    <row r="18" customFormat="false" ht="15" hidden="false" customHeight="false" outlineLevel="0" collapsed="false">
      <c r="A18" s="22" t="s">
        <v>875</v>
      </c>
      <c r="B18" s="78" t="n">
        <v>0.221299053492476</v>
      </c>
      <c r="C18" s="78" t="n">
        <v>0.221299053492476</v>
      </c>
      <c r="D18" s="78" t="n">
        <v>0.22179306996477</v>
      </c>
      <c r="E18" s="78" t="n">
        <v>0.222285474773275</v>
      </c>
    </row>
    <row r="19" customFormat="false" ht="15" hidden="false" customHeight="false" outlineLevel="0" collapsed="false">
      <c r="A19" s="152" t="s">
        <v>893</v>
      </c>
      <c r="B19" s="131" t="n">
        <v>0.251565992971337</v>
      </c>
      <c r="C19" s="131" t="n">
        <v>0.269263597367717</v>
      </c>
      <c r="D19" s="131" t="n">
        <v>0.268922191564116</v>
      </c>
      <c r="E19" s="131" t="n">
        <v>0.268603435151499</v>
      </c>
    </row>
    <row r="20" customFormat="false" ht="15" hidden="false" customHeight="false" outlineLevel="0" collapsed="false">
      <c r="A20" s="22" t="s">
        <v>898</v>
      </c>
      <c r="B20" s="129" t="n">
        <v>11.0192975996508</v>
      </c>
      <c r="C20" s="129" t="n">
        <v>12.3351631903001</v>
      </c>
      <c r="D20" s="129" t="n">
        <v>11.8509214775366</v>
      </c>
      <c r="E20" s="129" t="n">
        <v>11.4275995093997</v>
      </c>
    </row>
    <row r="22" customFormat="false" ht="15" hidden="false" customHeight="false" outlineLevel="0" collapsed="false">
      <c r="A22" s="19" t="s">
        <v>1311</v>
      </c>
      <c r="B22" s="20"/>
      <c r="C22" s="20"/>
      <c r="D22" s="20"/>
      <c r="E22" s="20"/>
    </row>
    <row r="23" customFormat="false" ht="27.75" hidden="false" customHeight="true" outlineLevel="0" collapsed="false">
      <c r="A23" s="44" t="s">
        <v>938</v>
      </c>
      <c r="B23" s="44" t="s">
        <v>1312</v>
      </c>
      <c r="C23" s="44" t="s">
        <v>1313</v>
      </c>
      <c r="D23" s="44" t="s">
        <v>1314</v>
      </c>
      <c r="E23" s="44" t="s">
        <v>1315</v>
      </c>
    </row>
    <row r="24" customFormat="false" ht="15" hidden="false" customHeight="false" outlineLevel="0" collapsed="false">
      <c r="A24" s="22" t="s">
        <v>1316</v>
      </c>
      <c r="B24" s="123" t="n">
        <v>1772.0618392549</v>
      </c>
      <c r="C24" s="123" t="n">
        <v>1578.78210634006</v>
      </c>
      <c r="D24" s="123" t="n">
        <v>1386.96869966588</v>
      </c>
      <c r="E24" s="123" t="n">
        <v>1196.60499575511</v>
      </c>
    </row>
    <row r="25" customFormat="false" ht="15" hidden="false" customHeight="false" outlineLevel="0" collapsed="false">
      <c r="A25" s="22" t="s">
        <v>1317</v>
      </c>
      <c r="B25" s="78" t="n">
        <v>0.232323600489644</v>
      </c>
      <c r="C25" s="78" t="n">
        <v>0.233293491479071</v>
      </c>
      <c r="D25" s="78" t="n">
        <v>0.234277347710167</v>
      </c>
      <c r="E25" s="78" t="n">
        <v>0.235000615631077</v>
      </c>
    </row>
    <row r="26" customFormat="false" ht="15" hidden="false" customHeight="false" outlineLevel="0" collapsed="false">
      <c r="A26" s="22" t="s">
        <v>1209</v>
      </c>
      <c r="B26" s="126" t="n">
        <v>0.831666666666667</v>
      </c>
      <c r="C26" s="126" t="n">
        <v>0.842</v>
      </c>
      <c r="D26" s="126" t="n">
        <v>0.85</v>
      </c>
      <c r="E26" s="126" t="n">
        <v>0.860666666666667</v>
      </c>
    </row>
    <row r="27" customFormat="false" ht="15" hidden="false" customHeight="false" outlineLevel="0" collapsed="false">
      <c r="A27" s="22" t="s">
        <v>1318</v>
      </c>
      <c r="B27" s="129" t="n">
        <v>1.25196707791542</v>
      </c>
      <c r="C27" s="129" t="n">
        <v>1.35308356739705</v>
      </c>
      <c r="D27" s="129" t="n">
        <v>1.47167489541571</v>
      </c>
      <c r="E27" s="129" t="n">
        <v>1.6121578623954</v>
      </c>
    </row>
    <row r="28" customFormat="false" ht="15" hidden="false" customHeight="false" outlineLevel="0" collapsed="false">
      <c r="A28" s="145" t="s">
        <v>1319</v>
      </c>
      <c r="B28" s="155" t="n">
        <v>0.501666666666667</v>
      </c>
      <c r="C28" s="155" t="n">
        <v>0.587</v>
      </c>
      <c r="D28" s="155" t="n">
        <v>0.670666666666667</v>
      </c>
      <c r="E28" s="155" t="n">
        <v>0.746</v>
      </c>
    </row>
    <row r="29" customFormat="false" ht="15" hidden="false" customHeight="false" outlineLevel="0" collapsed="false">
      <c r="A29" s="145" t="s">
        <v>1320</v>
      </c>
      <c r="B29" s="155" t="n">
        <v>0.278666666666667</v>
      </c>
      <c r="C29" s="155" t="n">
        <v>0.213</v>
      </c>
      <c r="D29" s="155" t="n">
        <v>0.158666666666667</v>
      </c>
      <c r="E29" s="155" t="n">
        <v>0.121333333333333</v>
      </c>
    </row>
    <row r="30" customFormat="false" ht="15" hidden="false" customHeight="false" outlineLevel="0" collapsed="false">
      <c r="A30" s="22" t="s">
        <v>1321</v>
      </c>
      <c r="B30" s="126" t="n">
        <v>0.911666666666667</v>
      </c>
      <c r="C30" s="126" t="n">
        <v>0.913</v>
      </c>
      <c r="D30" s="126" t="n">
        <v>0.914</v>
      </c>
      <c r="E30" s="126" t="n">
        <v>0.915333333333333</v>
      </c>
    </row>
    <row r="31" customFormat="false" ht="15" hidden="false" customHeight="false" outlineLevel="0" collapsed="false">
      <c r="A31" s="22" t="s">
        <v>1322</v>
      </c>
      <c r="B31" s="123" t="n">
        <v>-5126.53426372618</v>
      </c>
      <c r="C31" s="123" t="n">
        <v>-4318.31459848445</v>
      </c>
      <c r="D31" s="123" t="n">
        <v>-3547.59383180146</v>
      </c>
      <c r="E31" s="123" t="n">
        <v>-2862.55662431796</v>
      </c>
    </row>
    <row r="33" customFormat="false" ht="15" hidden="false" customHeight="false" outlineLevel="0" collapsed="false">
      <c r="A33" s="19" t="s">
        <v>1323</v>
      </c>
      <c r="B33" s="20"/>
      <c r="C33" s="20"/>
      <c r="D33" s="20"/>
      <c r="E33" s="20"/>
    </row>
    <row r="34" customFormat="false" ht="15" hidden="false" customHeight="false" outlineLevel="0" collapsed="false">
      <c r="A34" s="6" t="s">
        <v>1324</v>
      </c>
    </row>
    <row r="35" customFormat="false" ht="15" hidden="false" customHeight="false" outlineLevel="0" collapsed="false">
      <c r="A35" s="7" t="s">
        <v>1325</v>
      </c>
    </row>
    <row r="36" customFormat="false" ht="15" hidden="false" customHeight="false" outlineLevel="0" collapsed="false">
      <c r="A36" s="7" t="s">
        <v>1326</v>
      </c>
    </row>
    <row r="37" customFormat="false" ht="15" hidden="false" customHeight="false" outlineLevel="0" collapsed="false">
      <c r="A37" s="7" t="s">
        <v>1327</v>
      </c>
    </row>
    <row r="38" customFormat="false" ht="15" hidden="false" customHeight="false" outlineLevel="0" collapsed="false">
      <c r="A38" s="7" t="s">
        <v>1328</v>
      </c>
    </row>
    <row r="39" customFormat="false" ht="15" hidden="false" customHeight="false" outlineLevel="0" collapsed="false">
      <c r="A39" s="7" t="s">
        <v>1329</v>
      </c>
    </row>
    <row r="40" customFormat="false" ht="15" hidden="false" customHeight="false" outlineLevel="0" collapsed="false">
      <c r="A40" s="7"/>
    </row>
    <row r="41" customFormat="false" ht="15" hidden="false" customHeight="false" outlineLevel="0" collapsed="false">
      <c r="A41" s="6" t="s">
        <v>1330</v>
      </c>
    </row>
    <row r="42" customFormat="false" ht="15" hidden="false" customHeight="false" outlineLevel="0" collapsed="false">
      <c r="A42" s="7" t="s">
        <v>1331</v>
      </c>
    </row>
    <row r="43" customFormat="false" ht="15" hidden="false" customHeight="false" outlineLevel="0" collapsed="false">
      <c r="A43" s="7" t="s">
        <v>1332</v>
      </c>
    </row>
    <row r="44" customFormat="false" ht="15" hidden="false" customHeight="false" outlineLevel="0" collapsed="false">
      <c r="A44" s="7" t="s">
        <v>1333</v>
      </c>
    </row>
    <row r="45" customFormat="false" ht="15" hidden="false" customHeight="false" outlineLevel="0" collapsed="false">
      <c r="A45" s="7" t="s">
        <v>1334</v>
      </c>
    </row>
    <row r="46" customFormat="false" ht="15" hidden="false" customHeight="false" outlineLevel="0" collapsed="false">
      <c r="A46" s="7"/>
    </row>
    <row r="47" customFormat="false" ht="15" hidden="false" customHeight="false" outlineLevel="0" collapsed="false">
      <c r="A47" s="6" t="s">
        <v>1335</v>
      </c>
    </row>
    <row r="48" customFormat="false" ht="15" hidden="false" customHeight="false" outlineLevel="0" collapsed="false">
      <c r="A48" s="7" t="s">
        <v>1336</v>
      </c>
    </row>
    <row r="49" customFormat="false" ht="15" hidden="false" customHeight="false" outlineLevel="0" collapsed="false">
      <c r="A49" s="7" t="s">
        <v>1337</v>
      </c>
    </row>
    <row r="50" customFormat="false" ht="15" hidden="false" customHeight="false" outlineLevel="0" collapsed="false">
      <c r="A50" s="7" t="s">
        <v>1338</v>
      </c>
    </row>
    <row r="51" customFormat="false" ht="15" hidden="false" customHeight="false" outlineLevel="0" collapsed="false">
      <c r="A51" s="7" t="s">
        <v>1339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O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7" min="2" style="0" width="16"/>
    <col collapsed="false" customWidth="true" hidden="false" outlineLevel="0" max="8" min="8" style="0" width="3"/>
    <col collapsed="false" customWidth="true" hidden="false" outlineLevel="0" max="9" min="9" style="0" width="44"/>
    <col collapsed="false" customWidth="true" hidden="false" outlineLevel="0" max="16" min="10" style="0" width="13"/>
  </cols>
  <sheetData>
    <row r="1" customFormat="false" ht="24" hidden="false" customHeight="true" outlineLevel="0" collapsed="false">
      <c r="A1" s="15" t="s">
        <v>1340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" hidden="false" customHeight="false" outlineLevel="0" collapsed="false">
      <c r="A2" s="16" t="s">
        <v>1341</v>
      </c>
    </row>
    <row r="4" customFormat="false" ht="15" hidden="false" customHeight="false" outlineLevel="0" collapsed="false">
      <c r="A4" s="19" t="s">
        <v>1342</v>
      </c>
      <c r="B4" s="20"/>
      <c r="C4" s="20"/>
      <c r="D4" s="20"/>
      <c r="E4" s="20"/>
      <c r="F4" s="20"/>
      <c r="G4" s="20"/>
    </row>
    <row r="5" customFormat="false" ht="27.75" hidden="false" customHeight="true" outlineLevel="0" collapsed="false">
      <c r="A5" s="44" t="s">
        <v>420</v>
      </c>
      <c r="B5" s="44" t="s">
        <v>1343</v>
      </c>
      <c r="C5" s="44" t="s">
        <v>533</v>
      </c>
      <c r="D5" s="44" t="s">
        <v>1344</v>
      </c>
      <c r="E5" s="44" t="s">
        <v>1345</v>
      </c>
    </row>
    <row r="6" customFormat="false" ht="15" hidden="false" customHeight="false" outlineLevel="0" collapsed="false">
      <c r="A6" s="22" t="s">
        <v>1346</v>
      </c>
      <c r="B6" s="123" t="n">
        <v>1100</v>
      </c>
      <c r="C6" s="133" t="n">
        <v>11</v>
      </c>
      <c r="D6" s="126" t="n">
        <v>0.188118206214577</v>
      </c>
      <c r="E6" s="126" t="n">
        <v>0.0883997925298238</v>
      </c>
    </row>
    <row r="7" customFormat="false" ht="15" hidden="false" customHeight="false" outlineLevel="0" collapsed="false">
      <c r="A7" s="22" t="s">
        <v>1347</v>
      </c>
      <c r="B7" s="123" t="n">
        <v>2203.77379471229</v>
      </c>
      <c r="C7" s="133" t="n">
        <v>22.0377379471229</v>
      </c>
      <c r="D7" s="126" t="n">
        <v>0.376881793785423</v>
      </c>
      <c r="E7" s="126" t="n">
        <v>0.177102860213844</v>
      </c>
    </row>
    <row r="8" customFormat="false" ht="15" hidden="false" customHeight="false" outlineLevel="0" collapsed="false">
      <c r="A8" s="22" t="s">
        <v>1348</v>
      </c>
      <c r="B8" s="123" t="n">
        <v>2543.6134525661</v>
      </c>
      <c r="C8" s="133" t="n">
        <v>25.436134525661</v>
      </c>
      <c r="D8" s="126" t="n">
        <v>0.435</v>
      </c>
      <c r="E8" s="126" t="n">
        <v>0.204413546802647</v>
      </c>
    </row>
    <row r="9" customFormat="false" ht="15" hidden="false" customHeight="false" outlineLevel="0" collapsed="false">
      <c r="A9" s="35" t="s">
        <v>1349</v>
      </c>
      <c r="B9" s="46" t="n">
        <v>5847.38724727838</v>
      </c>
      <c r="C9" s="156" t="n">
        <v>58.4738724727838</v>
      </c>
      <c r="D9" s="36" t="n">
        <v>1</v>
      </c>
    </row>
    <row r="10" customFormat="false" ht="15" hidden="false" customHeight="false" outlineLevel="0" collapsed="false">
      <c r="A10" s="22" t="s">
        <v>1350</v>
      </c>
      <c r="B10" s="123" t="n">
        <v>6596.08087091757</v>
      </c>
      <c r="C10" s="133" t="n">
        <v>65.9608087091757</v>
      </c>
      <c r="E10" s="126" t="n">
        <v>0.530083800453685</v>
      </c>
    </row>
    <row r="11" customFormat="false" ht="15" hidden="false" customHeight="false" outlineLevel="0" collapsed="false">
      <c r="A11" s="70" t="s">
        <v>1351</v>
      </c>
      <c r="B11" s="157" t="n">
        <v>12443.468118196</v>
      </c>
      <c r="C11" s="158" t="n">
        <v>124.43468118196</v>
      </c>
    </row>
    <row r="13" customFormat="false" ht="15" hidden="false" customHeight="false" outlineLevel="0" collapsed="false">
      <c r="A13" s="19" t="s">
        <v>1352</v>
      </c>
      <c r="B13" s="20"/>
      <c r="C13" s="20"/>
      <c r="D13" s="20"/>
      <c r="E13" s="20"/>
      <c r="F13" s="20"/>
      <c r="G13" s="20"/>
    </row>
    <row r="14" customFormat="false" ht="15" hidden="false" customHeight="false" outlineLevel="0" collapsed="false">
      <c r="A14" s="14" t="s">
        <v>1353</v>
      </c>
    </row>
    <row r="15" customFormat="false" ht="15" hidden="false" customHeight="false" outlineLevel="0" collapsed="false">
      <c r="A15" s="14" t="s">
        <v>1354</v>
      </c>
    </row>
    <row r="16" customFormat="false" ht="27.75" hidden="false" customHeight="true" outlineLevel="0" collapsed="false">
      <c r="A16" s="44" t="s">
        <v>1355</v>
      </c>
      <c r="B16" s="44" t="s">
        <v>1356</v>
      </c>
      <c r="C16" s="44" t="s">
        <v>1357</v>
      </c>
      <c r="D16" s="44" t="s">
        <v>1358</v>
      </c>
      <c r="E16" s="44" t="s">
        <v>1359</v>
      </c>
    </row>
    <row r="17" customFormat="false" ht="15" hidden="false" customHeight="false" outlineLevel="0" collapsed="false">
      <c r="A17" s="144" t="s">
        <v>1360</v>
      </c>
      <c r="B17" s="123" t="n">
        <v>3303.77379471229</v>
      </c>
      <c r="C17" s="125" t="n">
        <v>0.565</v>
      </c>
      <c r="D17" s="148" t="s">
        <v>1361</v>
      </c>
      <c r="E17" s="159" t="s">
        <v>1362</v>
      </c>
    </row>
    <row r="18" customFormat="false" ht="15" hidden="false" customHeight="false" outlineLevel="0" collapsed="false">
      <c r="A18" s="144" t="s">
        <v>1363</v>
      </c>
      <c r="B18" s="123" t="n">
        <v>2543.6134525661</v>
      </c>
      <c r="C18" s="125" t="n">
        <v>0.435</v>
      </c>
      <c r="D18" s="148" t="s">
        <v>1364</v>
      </c>
      <c r="E18" s="159" t="s">
        <v>1365</v>
      </c>
    </row>
    <row r="19" customFormat="false" ht="15" hidden="false" customHeight="false" outlineLevel="0" collapsed="false">
      <c r="A19" s="6" t="s">
        <v>1366</v>
      </c>
      <c r="B19" s="43" t="n">
        <v>3303.77379471229</v>
      </c>
    </row>
    <row r="20" customFormat="false" ht="15" hidden="false" customHeight="false" outlineLevel="0" collapsed="false">
      <c r="A20" s="6" t="s">
        <v>1367</v>
      </c>
      <c r="B20" s="43" t="n">
        <v>5847.38724727838</v>
      </c>
    </row>
    <row r="22" customFormat="false" ht="15" hidden="false" customHeight="false" outlineLevel="0" collapsed="false">
      <c r="A22" s="19" t="s">
        <v>1368</v>
      </c>
      <c r="B22" s="20"/>
      <c r="C22" s="20"/>
      <c r="D22" s="20"/>
      <c r="E22" s="20"/>
      <c r="F22" s="20"/>
      <c r="G22" s="20"/>
    </row>
    <row r="23" customFormat="false" ht="27.75" hidden="false" customHeight="true" outlineLevel="0" collapsed="false">
      <c r="A23" s="44" t="s">
        <v>1369</v>
      </c>
      <c r="B23" s="44" t="s">
        <v>1370</v>
      </c>
      <c r="C23" s="44" t="s">
        <v>1371</v>
      </c>
      <c r="D23" s="44" t="s">
        <v>1372</v>
      </c>
      <c r="E23" s="44" t="s">
        <v>1373</v>
      </c>
      <c r="F23" s="44" t="s">
        <v>1374</v>
      </c>
      <c r="G23" s="44" t="s">
        <v>1375</v>
      </c>
      <c r="H23" s="44" t="s">
        <v>1376</v>
      </c>
      <c r="I23" s="44" t="s">
        <v>1377</v>
      </c>
    </row>
    <row r="24" customFormat="false" ht="15" hidden="false" customHeight="false" outlineLevel="0" collapsed="false">
      <c r="A24" s="22" t="s">
        <v>1378</v>
      </c>
      <c r="B24" s="123" t="n">
        <v>2477.82306017938</v>
      </c>
      <c r="C24" s="143" t="n">
        <v>11</v>
      </c>
      <c r="D24" s="123" t="n">
        <v>27256.0536619731</v>
      </c>
      <c r="E24" s="123" t="n">
        <v>-4684.16191140299</v>
      </c>
      <c r="F24" s="160" t="n">
        <v>22571.8917505701</v>
      </c>
      <c r="G24" s="123" t="n">
        <v>9818.77291149801</v>
      </c>
      <c r="H24" s="128" t="n">
        <v>3.86016707907896</v>
      </c>
      <c r="I24" s="131" t="n">
        <v>0.212832627519498</v>
      </c>
    </row>
    <row r="25" customFormat="false" ht="15" hidden="false" customHeight="false" outlineLevel="0" collapsed="false">
      <c r="A25" s="22" t="s">
        <v>1379</v>
      </c>
      <c r="B25" s="123" t="n">
        <v>2477.82306017938</v>
      </c>
      <c r="C25" s="143" t="n">
        <v>13</v>
      </c>
      <c r="D25" s="123" t="n">
        <v>32211.6997823319</v>
      </c>
      <c r="E25" s="123" t="n">
        <v>-4684.16191140299</v>
      </c>
      <c r="F25" s="160" t="n">
        <v>27527.5378709289</v>
      </c>
      <c r="G25" s="123" t="n">
        <v>11974.4789738541</v>
      </c>
      <c r="H25" s="128" t="n">
        <v>4.70766458707542</v>
      </c>
      <c r="I25" s="131" t="n">
        <v>0.247714072108592</v>
      </c>
    </row>
    <row r="26" customFormat="false" ht="15" hidden="false" customHeight="false" outlineLevel="0" collapsed="false">
      <c r="A26" s="22" t="s">
        <v>1380</v>
      </c>
      <c r="B26" s="123" t="n">
        <v>2477.82306017938</v>
      </c>
      <c r="C26" s="143" t="n">
        <v>15</v>
      </c>
      <c r="D26" s="123" t="n">
        <v>37167.3459026906</v>
      </c>
      <c r="E26" s="123" t="n">
        <v>-4684.16191140299</v>
      </c>
      <c r="F26" s="160" t="n">
        <v>32483.1839912876</v>
      </c>
      <c r="G26" s="123" t="n">
        <v>14130.1850362101</v>
      </c>
      <c r="H26" s="128" t="n">
        <v>5.55516209507189</v>
      </c>
      <c r="I26" s="131" t="n">
        <v>0.277571596943617</v>
      </c>
    </row>
    <row r="27" customFormat="false" ht="15" hidden="false" customHeight="false" outlineLevel="0" collapsed="false">
      <c r="A27" s="22" t="s">
        <v>1381</v>
      </c>
      <c r="B27" s="123" t="n">
        <v>3225.02646884253</v>
      </c>
      <c r="C27" s="143" t="n">
        <v>11</v>
      </c>
      <c r="D27" s="123" t="n">
        <v>35475.2911572678</v>
      </c>
      <c r="E27" s="123" t="n">
        <v>-1115.80739981807</v>
      </c>
      <c r="F27" s="160" t="n">
        <v>34359.4837574497</v>
      </c>
      <c r="G27" s="123" t="n">
        <v>14946.3754344906</v>
      </c>
      <c r="H27" s="128" t="n">
        <v>5.87604040991848</v>
      </c>
      <c r="I27" s="131" t="n">
        <v>0.217457652248659</v>
      </c>
    </row>
    <row r="28" customFormat="false" ht="15" hidden="false" customHeight="false" outlineLevel="0" collapsed="false">
      <c r="A28" s="22" t="s">
        <v>1382</v>
      </c>
      <c r="B28" s="123" t="n">
        <v>3225.02646884253</v>
      </c>
      <c r="C28" s="143" t="n">
        <v>13</v>
      </c>
      <c r="D28" s="123" t="n">
        <v>41925.3440949529</v>
      </c>
      <c r="E28" s="123" t="n">
        <v>-1115.80739981807</v>
      </c>
      <c r="F28" s="160" t="n">
        <v>40809.5366951348</v>
      </c>
      <c r="G28" s="123" t="n">
        <v>17752.1484623836</v>
      </c>
      <c r="H28" s="128" t="n">
        <v>6.97910621776063</v>
      </c>
      <c r="I28" s="131" t="n">
        <v>0.240953574167882</v>
      </c>
    </row>
    <row r="29" customFormat="false" ht="15" hidden="false" customHeight="false" outlineLevel="0" collapsed="false">
      <c r="A29" s="22" t="s">
        <v>1383</v>
      </c>
      <c r="B29" s="123" t="n">
        <v>3225.02646884253</v>
      </c>
      <c r="C29" s="143" t="n">
        <v>15</v>
      </c>
      <c r="D29" s="123" t="n">
        <v>48375.3970326379</v>
      </c>
      <c r="E29" s="123" t="n">
        <v>-1115.80739981807</v>
      </c>
      <c r="F29" s="160" t="n">
        <v>47259.5896328199</v>
      </c>
      <c r="G29" s="123" t="n">
        <v>20557.9214902766</v>
      </c>
      <c r="H29" s="128" t="n">
        <v>8.08217202560279</v>
      </c>
      <c r="I29" s="131" t="n">
        <v>0.261352448110992</v>
      </c>
    </row>
    <row r="31" customFormat="false" ht="15" hidden="false" customHeight="false" outlineLevel="0" collapsed="false">
      <c r="A31" s="19" t="s">
        <v>1384</v>
      </c>
      <c r="B31" s="20"/>
      <c r="C31" s="20"/>
      <c r="D31" s="20"/>
      <c r="E31" s="20"/>
      <c r="F31" s="20"/>
      <c r="G31" s="20"/>
    </row>
    <row r="32" customFormat="false" ht="15" hidden="false" customHeight="false" outlineLevel="0" collapsed="false">
      <c r="A32" s="7" t="s">
        <v>1385</v>
      </c>
    </row>
    <row r="33" customFormat="false" ht="15" hidden="false" customHeight="false" outlineLevel="0" collapsed="false">
      <c r="A33" s="7" t="s">
        <v>1386</v>
      </c>
    </row>
    <row r="34" customFormat="false" ht="15" hidden="false" customHeight="false" outlineLevel="0" collapsed="false">
      <c r="A34" s="7" t="s">
        <v>1387</v>
      </c>
    </row>
    <row r="35" customFormat="false" ht="15" hidden="false" customHeight="false" outlineLevel="0" collapsed="false">
      <c r="A35" s="7"/>
    </row>
    <row r="36" customFormat="false" ht="15" hidden="false" customHeight="false" outlineLevel="0" collapsed="false">
      <c r="A36" s="7" t="s">
        <v>1388</v>
      </c>
    </row>
    <row r="37" customFormat="false" ht="15" hidden="false" customHeight="false" outlineLevel="0" collapsed="false">
      <c r="A37" s="7" t="s">
        <v>1389</v>
      </c>
    </row>
    <row r="38" customFormat="false" ht="15" hidden="false" customHeight="false" outlineLevel="0" collapsed="false">
      <c r="A38" s="7" t="s">
        <v>1390</v>
      </c>
    </row>
    <row r="39" customFormat="false" ht="15" hidden="false" customHeight="false" outlineLevel="0" collapsed="false">
      <c r="A39" s="7" t="s">
        <v>1391</v>
      </c>
    </row>
    <row r="40" customFormat="false" ht="15" hidden="false" customHeight="false" outlineLevel="0" collapsed="false">
      <c r="A40" s="7"/>
    </row>
    <row r="41" customFormat="false" ht="15" hidden="false" customHeight="false" outlineLevel="0" collapsed="false">
      <c r="A41" s="7" t="s">
        <v>1392</v>
      </c>
    </row>
    <row r="42" customFormat="false" ht="15" hidden="false" customHeight="false" outlineLevel="0" collapsed="false">
      <c r="A42" s="7" t="s">
        <v>1393</v>
      </c>
    </row>
    <row r="43" customFormat="false" ht="15" hidden="false" customHeight="false" outlineLevel="0" collapsed="false">
      <c r="A43" s="7" t="s">
        <v>1394</v>
      </c>
    </row>
    <row r="44" customFormat="false" ht="15" hidden="false" customHeight="false" outlineLevel="0" collapsed="false">
      <c r="A44" s="7" t="s">
        <v>1395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O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16" min="3" style="0" width="13"/>
  </cols>
  <sheetData>
    <row r="1" customFormat="false" ht="24" hidden="false" customHeight="true" outlineLevel="0" collapsed="false">
      <c r="A1" s="15" t="s">
        <v>1396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" hidden="false" customHeight="false" outlineLevel="0" collapsed="false">
      <c r="A2" s="16" t="s">
        <v>1397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2026-08-08T17:55:17Z</dcterms:created>
  <dc:creator>openpyxl</dc:creator>
  <dc:description/>
  <dc:language>en-US</dc:language>
  <cp:lastModifiedBy/>
  <dcterms:modified xsi:type="dcterms:W3CDTF">2026-08-08T23:25:25Z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